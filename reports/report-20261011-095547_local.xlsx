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Tenders" sheetId="2" state="visible" r:id="rId2"/>
    <sheet name="Books" sheetId="3" state="visible" r:id="rId3"/>
    <sheet name="Tender replay" sheetId="4" state="visible" r:id="rId4"/>
    <sheet name="Live (RT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;-0.00;;@"/>
    <numFmt numFmtId="165" formatCode="0.000;-0.000;&quot;-&quot;"/>
    <numFmt numFmtId="166" formatCode="$#,##0;($#,##0);-"/>
    <numFmt numFmtId="167" formatCode="#,##0;-#,##0;;@"/>
    <numFmt numFmtId="168" formatCode="0.0"/>
    <numFmt numFmtId="169" formatCode="0.0000"/>
    <numFmt numFmtId="170" formatCode="#,##0.00;-#,##0.00;;@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color rgb="00666666"/>
      <sz val="10"/>
    </font>
    <font>
      <name val="Arial"/>
      <b val="1"/>
      <color rgb="000000FF"/>
      <sz val="10"/>
    </font>
    <font>
      <name val="Arial"/>
      <i val="1"/>
      <color rgb="00666666"/>
      <sz val="10"/>
    </font>
    <font>
      <name val="Arial"/>
      <b val="1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0" fontId="5" fillId="0" borderId="0" pivotButton="0" quotePrefix="0" xfId="0"/>
    <xf numFmtId="167" fontId="4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168" fontId="2" fillId="3" borderId="0" pivotButton="0" quotePrefix="0" xfId="0"/>
    <xf numFmtId="164" fontId="4" fillId="0" borderId="0" pivotButton="0" quotePrefix="0" xfId="0"/>
    <xf numFmtId="170" fontId="4" fillId="0" borderId="0" pivotButton="0" quotePrefix="0" xfId="0"/>
    <xf numFmtId="169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7" fillId="0" borderId="0" pivotButton="0" quotePrefix="0" xfId="0"/>
    <xf numFmtId="165" fontId="3" fillId="0" borderId="0" pivotButton="0" quotePrefix="0" xfId="0"/>
    <xf numFmtId="167" fontId="1" fillId="0" borderId="0" pivotButton="0" quotePrefix="0" xfId="0"/>
    <xf numFmtId="4" fontId="1" fillId="0" borderId="0" pivotButton="0" quotePrefix="0" xfId="0"/>
    <xf numFmtId="0" fontId="8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ritc report</author>
  </authors>
  <commentList>
    <comment ref="B1" authorId="0" shapeId="0">
      <text>
        <t>Tick the bot answered this tender (from the log).</t>
      </text>
    </comment>
    <comment ref="B2" authorId="0" shapeId="0">
      <text>
        <t>Brief: the case runs for 420 seconds.</t>
      </text>
    </comment>
    <comment ref="E4" authorId="0" shapeId="0">
      <text>
        <t>Same format as RTD TENDERINFO.</t>
      </text>
    </comment>
    <comment ref="B7" authorId="0" shapeId="0">
      <text>
        <t>+ = we BUY the block (RTD sign convention).</t>
      </text>
    </comment>
    <comment ref="B11" authorId="0" shapeId="0">
      <text>
        <t>Decision window still open. Trading this stock before the answer is front-running (brief).</t>
      </text>
    </comment>
    <comment ref="B13" authorId="0" shapeId="0">
      <text>
        <t>1 to 35: a row of Tenders.</t>
      </text>
    </comment>
    <comment ref="B26" authorId="0" shapeId="0">
      <text>
        <t>The visible book refills while you unwind; the bot walks the book with every level x 2.</t>
      </text>
    </comment>
    <comment ref="B28" authorId="0" shapeId="0">
      <text>
        <t>Brief: open positions close at the last traded price with no fine. ~1c covers adverse resting fills and the close at the bid/ask.</t>
      </text>
    </comment>
    <comment ref="B29" authorId="0" shapeId="0">
      <text>
        <t>The bot bids its value minus 5c on competitive auctions and winner-take-all.</t>
      </text>
    </comment>
  </commentList>
</comments>
</file>

<file path=xl/comments/comment2.xml><?xml version="1.0" encoding="utf-8"?>
<comments xmlns="http://schemas.openxmlformats.org/spreadsheetml/2006/main">
  <authors>
    <author>ritc report</author>
  </authors>
  <commentList>
    <comment ref="B2" authorId="0" shapeId="0">
      <text>
        <t>Brief: the case runs for 420 seconds.</t>
      </text>
    </comment>
    <comment ref="E4" authorId="0" shapeId="0">
      <text>
        <t>RTD doc: "ID,Ticker,Volume,Price,tick received,tick expires", e.g. 11,TAME,58000,24.51,49,79</t>
      </text>
    </comment>
    <comment ref="B8" authorId="0" shapeId="0">
      <text>
        <t>Auctions may carry no price (or 0): the evaluation then shows the bid to submit.</t>
      </text>
    </comment>
    <comment ref="B11" authorId="0" shapeId="0">
      <text>
        <t>Decision window still open. Trading this stock before the answer is front-running (brief).</t>
      </text>
    </comment>
    <comment ref="B26" authorId="0" shapeId="0">
      <text>
        <t>The visible book refills while you unwind; the bot walks the book with every level x 2.</t>
      </text>
    </comment>
    <comment ref="B28" authorId="0" shapeId="0">
      <text>
        <t>Brief: open positions close at the last traded price with no fine. ~1c covers adverse resting fills and the close at the bid/ask.</t>
      </text>
    </comment>
    <comment ref="B29" authorId="0" shapeId="0">
      <text>
        <t>The bot bids its value minus 5c on competitive auctions and winner-take-all.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Bot</t>
        </is>
      </c>
      <c r="D1" s="1" t="inlineStr">
        <is>
          <t>Seed(s)</t>
        </is>
      </c>
      <c r="E1" s="1" t="inlineStr">
        <is>
          <t>Tenders</t>
        </is>
      </c>
      <c r="F1" s="1" t="inlineStr">
        <is>
          <t>Accepts</t>
        </is>
      </c>
      <c r="G1" s="1" t="inlineStr">
        <is>
          <t>Gaps</t>
        </is>
      </c>
      <c r="H1" s="1" t="inlineStr">
        <is>
          <t>Journal P&amp;L</t>
        </is>
      </c>
      <c r="I1" s="1" t="inlineStr">
        <is>
          <t>Current bot on this market</t>
        </is>
      </c>
    </row>
    <row r="2">
      <c r="A2" s="2" t="inlineStr">
        <is>
          <t>20261011-094605</t>
        </is>
      </c>
      <c r="B2" s="2" t="inlineStr">
        <is>
          <t>local</t>
        </is>
      </c>
      <c r="C2" s="2" t="inlineStr">
        <is>
          <t>v3-late-guard</t>
        </is>
      </c>
      <c r="D2" s="2" t="inlineStr">
        <is>
          <t>7</t>
        </is>
      </c>
      <c r="E2" s="2" t="n">
        <v>35</v>
      </c>
      <c r="F2" s="2" t="n">
        <v>21</v>
      </c>
      <c r="G2" s="2" t="n">
        <v>4</v>
      </c>
      <c r="H2" s="2" t="n">
        <v>46854.16</v>
      </c>
      <c r="I2" s="2" t="n">
        <v>49167.14594473329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Tender ID</t>
        </is>
      </c>
      <c r="C1" s="1" t="inlineStr">
        <is>
          <t>Type</t>
        </is>
      </c>
      <c r="D1" s="1" t="inlineStr">
        <is>
          <t>Side (ours)</t>
        </is>
      </c>
      <c r="E1" s="1" t="inlineStr">
        <is>
          <t>Security</t>
        </is>
      </c>
      <c r="F1" s="1" t="inlineStr">
        <is>
          <t>Volume (+buy)</t>
        </is>
      </c>
      <c r="G1" s="1" t="inlineStr">
        <is>
          <t>Price</t>
        </is>
      </c>
      <c r="H1" s="1" t="inlineStr">
        <is>
          <t>Tick received</t>
        </is>
      </c>
      <c r="I1" s="1" t="inlineStr">
        <is>
          <t>Tick expired</t>
        </is>
      </c>
      <c r="J1" s="1" t="inlineStr">
        <is>
          <t>Answer tick</t>
        </is>
      </c>
      <c r="K1" s="1" t="inlineStr">
        <is>
          <t>Bot answer</t>
        </is>
      </c>
      <c r="L1" s="1" t="inlineStr">
        <is>
          <t>Bot est./share</t>
        </is>
      </c>
      <c r="M1" s="1" t="inlineStr">
        <is>
          <t>Bot bid</t>
        </is>
      </c>
      <c r="N1" s="1" t="inlineStr">
        <is>
          <t>Mid at answer</t>
        </is>
      </c>
      <c r="O1" s="1" t="inlineStr">
        <is>
          <t>Mid at arrival</t>
        </is>
      </c>
      <c r="P1" s="1" t="inlineStr">
        <is>
          <t>Edge vs mid at arrival</t>
        </is>
      </c>
      <c r="Q1" s="1" t="inlineStr">
        <is>
          <t>Hidden reserve</t>
        </is>
      </c>
      <c r="R1" s="1" t="inlineStr">
        <is>
          <t>Rival bid</t>
        </is>
      </c>
      <c r="S1" s="1" t="inlineStr">
        <is>
          <t>Bid vs reserve</t>
        </is>
      </c>
      <c r="T1" s="1" t="inlineStr">
        <is>
          <t>Outcome</t>
        </is>
      </c>
      <c r="U1" s="1" t="inlineStr">
        <is>
          <t>Gap flag</t>
        </is>
      </c>
      <c r="V1" s="1" t="inlineStr">
        <is>
          <t>Book tick</t>
        </is>
      </c>
      <c r="W1" s="1" t="inlineStr">
        <is>
          <t>Edge declined ($)</t>
        </is>
      </c>
      <c r="X1" s="1" t="inlineStr">
        <is>
          <t>Seed</t>
        </is>
      </c>
      <c r="Y1" s="1" t="inlineStr">
        <is>
          <t>Realized/share</t>
        </is>
      </c>
      <c r="Z1" s="1" t="inlineStr">
        <is>
          <t>Source</t>
        </is>
      </c>
    </row>
    <row r="2">
      <c r="A2" s="2" t="n">
        <v>1</v>
      </c>
      <c r="B2" s="2" t="n">
        <v>1</v>
      </c>
      <c r="C2" s="2" t="inlineStr">
        <is>
          <t>private</t>
        </is>
      </c>
      <c r="D2" s="2" t="inlineStr">
        <is>
          <t>BUY</t>
        </is>
      </c>
      <c r="E2" s="2" t="inlineStr">
        <is>
          <t>CROC</t>
        </is>
      </c>
      <c r="F2" s="2" t="n">
        <v>30000</v>
      </c>
      <c r="G2" s="3" t="n">
        <v>20.15</v>
      </c>
      <c r="H2" s="2" t="n">
        <v>21</v>
      </c>
      <c r="I2" s="2" t="n">
        <v>48</v>
      </c>
      <c r="J2" s="2" t="n">
        <v>44</v>
      </c>
      <c r="K2" s="2" t="inlineStr">
        <is>
          <t>decline</t>
        </is>
      </c>
      <c r="L2" s="4" t="n">
        <v>-0.0527</v>
      </c>
      <c r="M2" s="5" t="n"/>
      <c r="N2" s="3" t="n">
        <v>20.185</v>
      </c>
      <c r="O2" s="3" t="n">
        <v>20.25152396824904</v>
      </c>
      <c r="P2" s="6">
        <f>IF(OR(G2="",O2=""),"",SIGN(F2)*(O2-G2))</f>
        <v/>
      </c>
      <c r="Q2" s="3" t="n">
        <v>20.22</v>
      </c>
      <c r="R2" s="5" t="n"/>
      <c r="S2" s="6">
        <f>IF(OR(M2="",Q2=""),"",SIGN(F2)*(M2-Q2))</f>
        <v/>
      </c>
      <c r="T2" s="2" t="inlineStr"/>
      <c r="U2">
        <f>IF(K2="not answered","not answered",IF(AND(K2="decline",C2="private",N(P2)&gt;0.1),"declined: 10c+ inside the mid",IF(AND(S2&lt;&gt;"",N(S2)&lt;0),"bid short of the reserve","")))</f>
        <v/>
      </c>
      <c r="V2" s="2" t="n">
        <v>44</v>
      </c>
      <c r="W2" s="7">
        <f>IF(U2="declined: 10c+ inside the mid",P2*ABS(F2),0)</f>
        <v/>
      </c>
      <c r="X2" s="2" t="n">
        <v>7</v>
      </c>
      <c r="Y2" s="6" t="n"/>
      <c r="Z2" s="2" t="inlineStr">
        <is>
          <t>run 20261011-094605 (local)</t>
        </is>
      </c>
    </row>
    <row r="3">
      <c r="A3" s="2" t="n">
        <v>2</v>
      </c>
      <c r="B3" s="2" t="n">
        <v>2</v>
      </c>
      <c r="C3" s="2" t="inlineStr">
        <is>
          <t>private</t>
        </is>
      </c>
      <c r="D3" s="2" t="inlineStr">
        <is>
          <t>BUY</t>
        </is>
      </c>
      <c r="E3" s="2" t="inlineStr">
        <is>
          <t>CRZY</t>
        </is>
      </c>
      <c r="F3" s="2" t="n">
        <v>20000</v>
      </c>
      <c r="G3" s="3" t="n">
        <v>10.01</v>
      </c>
      <c r="H3" s="2" t="n">
        <v>46</v>
      </c>
      <c r="I3" s="2" t="n">
        <v>68</v>
      </c>
      <c r="J3" s="2" t="n">
        <v>66</v>
      </c>
      <c r="K3" s="2" t="inlineStr">
        <is>
          <t>ACCEPT</t>
        </is>
      </c>
      <c r="L3" s="4" t="n">
        <v>0.0588</v>
      </c>
      <c r="M3" s="5" t="n"/>
      <c r="N3" s="3" t="n">
        <v>10.135</v>
      </c>
      <c r="O3" s="3" t="n">
        <v>10.09893056214401</v>
      </c>
      <c r="P3" s="6">
        <f>IF(OR(G3="",O3=""),"",SIGN(F3)*(O3-G3))</f>
        <v/>
      </c>
      <c r="Q3" s="3" t="n">
        <v>10.02</v>
      </c>
      <c r="R3" s="5" t="n"/>
      <c r="S3" s="6">
        <f>IF(OR(M3="",Q3=""),"",SIGN(F3)*(M3-Q3))</f>
        <v/>
      </c>
      <c r="T3" s="2" t="inlineStr"/>
      <c r="U3">
        <f>IF(K3="not answered","not answered",IF(AND(K3="decline",C3="private",N(P3)&gt;0.1),"declined: 10c+ inside the mid",IF(AND(S3&lt;&gt;"",N(S3)&lt;0),"bid short of the reserve","")))</f>
        <v/>
      </c>
      <c r="V3" s="2" t="n">
        <v>66</v>
      </c>
      <c r="W3" s="7">
        <f>IF(U3="declined: 10c+ inside the mid",P3*ABS(F3),0)</f>
        <v/>
      </c>
      <c r="X3" s="2" t="n">
        <v>7</v>
      </c>
      <c r="Y3" s="6" t="n"/>
      <c r="Z3" s="2" t="inlineStr">
        <is>
          <t>run 20261011-094605 (local)</t>
        </is>
      </c>
    </row>
    <row r="4">
      <c r="A4" s="2" t="n">
        <v>3</v>
      </c>
      <c r="B4" s="2" t="n">
        <v>26</v>
      </c>
      <c r="C4" s="2" t="inlineStr">
        <is>
          <t>private</t>
        </is>
      </c>
      <c r="D4" s="2" t="inlineStr">
        <is>
          <t>BUY</t>
        </is>
      </c>
      <c r="E4" s="2" t="inlineStr">
        <is>
          <t>TAME</t>
        </is>
      </c>
      <c r="F4" s="2" t="n">
        <v>30000</v>
      </c>
      <c r="G4" s="3" t="n">
        <v>25.51</v>
      </c>
      <c r="H4" s="2" t="n">
        <v>125</v>
      </c>
      <c r="I4" s="2" t="n">
        <v>145</v>
      </c>
      <c r="J4" s="2" t="n">
        <v>142</v>
      </c>
      <c r="K4" s="2" t="inlineStr">
        <is>
          <t>ACCEPT</t>
        </is>
      </c>
      <c r="L4" s="4" t="n">
        <v>0.1125</v>
      </c>
      <c r="M4" s="5" t="n"/>
      <c r="N4" s="3" t="n">
        <v>25.735</v>
      </c>
      <c r="O4" s="3" t="n">
        <v>25.6581845646712</v>
      </c>
      <c r="P4" s="6">
        <f>IF(OR(G4="",O4=""),"",SIGN(F4)*(O4-G4))</f>
        <v/>
      </c>
      <c r="Q4" s="3" t="n">
        <v>25.59</v>
      </c>
      <c r="R4" s="5" t="n"/>
      <c r="S4" s="6">
        <f>IF(OR(M4="",Q4=""),"",SIGN(F4)*(M4-Q4))</f>
        <v/>
      </c>
      <c r="T4" s="2" t="inlineStr"/>
      <c r="U4">
        <f>IF(K4="not answered","not answered",IF(AND(K4="decline",C4="private",N(P4)&gt;0.1),"declined: 10c+ inside the mid",IF(AND(S4&lt;&gt;"",N(S4)&lt;0),"bid short of the reserve","")))</f>
        <v/>
      </c>
      <c r="V4" s="2" t="n">
        <v>142</v>
      </c>
      <c r="W4" s="7">
        <f>IF(U4="declined: 10c+ inside the mid",P4*ABS(F4),0)</f>
        <v/>
      </c>
      <c r="X4" s="2" t="n">
        <v>7</v>
      </c>
      <c r="Y4" s="6" t="n"/>
      <c r="Z4" s="2" t="inlineStr">
        <is>
          <t>run 20261011-094605 (local)</t>
        </is>
      </c>
    </row>
    <row r="5">
      <c r="A5" s="2" t="n">
        <v>4</v>
      </c>
      <c r="B5" s="2" t="n">
        <v>27</v>
      </c>
      <c r="C5" s="2" t="inlineStr">
        <is>
          <t>private</t>
        </is>
      </c>
      <c r="D5" s="2" t="inlineStr">
        <is>
          <t>SELL</t>
        </is>
      </c>
      <c r="E5" s="2" t="inlineStr">
        <is>
          <t>CRZY</t>
        </is>
      </c>
      <c r="F5" s="2" t="n">
        <v>-50000</v>
      </c>
      <c r="G5" s="3" t="n">
        <v>10.44</v>
      </c>
      <c r="H5" s="2" t="n">
        <v>127</v>
      </c>
      <c r="I5" s="2" t="n">
        <v>146</v>
      </c>
      <c r="J5" s="2" t="n">
        <v>144</v>
      </c>
      <c r="K5" s="2" t="inlineStr">
        <is>
          <t>decline</t>
        </is>
      </c>
      <c r="L5" s="4" t="n">
        <v>-0.0411</v>
      </c>
      <c r="M5" s="5" t="n"/>
      <c r="N5" s="3" t="n">
        <v>10.325</v>
      </c>
      <c r="O5" s="3" t="n">
        <v>10.37827819868145</v>
      </c>
      <c r="P5" s="6">
        <f>IF(OR(G5="",O5=""),"",SIGN(F5)*(O5-G5))</f>
        <v/>
      </c>
      <c r="Q5" s="3" t="n">
        <v>10.52</v>
      </c>
      <c r="R5" s="5" t="n"/>
      <c r="S5" s="6">
        <f>IF(OR(M5="",Q5=""),"",SIGN(F5)*(M5-Q5))</f>
        <v/>
      </c>
      <c r="T5" s="2" t="inlineStr"/>
      <c r="U5">
        <f>IF(K5="not answered","not answered",IF(AND(K5="decline",C5="private",N(P5)&gt;0.1),"declined: 10c+ inside the mid",IF(AND(S5&lt;&gt;"",N(S5)&lt;0),"bid short of the reserve","")))</f>
        <v/>
      </c>
      <c r="V5" s="2" t="n">
        <v>144</v>
      </c>
      <c r="W5" s="7">
        <f>IF(U5="declined: 10c+ inside the mid",P5*ABS(F5),0)</f>
        <v/>
      </c>
      <c r="X5" s="2" t="n">
        <v>7</v>
      </c>
      <c r="Y5" s="6" t="n"/>
      <c r="Z5" s="2" t="inlineStr">
        <is>
          <t>run 20261011-094605 (local)</t>
        </is>
      </c>
    </row>
    <row r="6">
      <c r="A6" s="2" t="n">
        <v>5</v>
      </c>
      <c r="B6" s="2" t="n">
        <v>28</v>
      </c>
      <c r="C6" s="2" t="inlineStr">
        <is>
          <t>private</t>
        </is>
      </c>
      <c r="D6" s="2" t="inlineStr">
        <is>
          <t>SELL</t>
        </is>
      </c>
      <c r="E6" s="2" t="inlineStr">
        <is>
          <t>CRZY</t>
        </is>
      </c>
      <c r="F6" s="2" t="n">
        <v>-20000</v>
      </c>
      <c r="G6" s="3" t="n">
        <v>10.27</v>
      </c>
      <c r="H6" s="2" t="n">
        <v>134</v>
      </c>
      <c r="I6" s="2" t="n">
        <v>155</v>
      </c>
      <c r="J6" s="2" t="n">
        <v>152</v>
      </c>
      <c r="K6" s="2" t="inlineStr">
        <is>
          <t>decline</t>
        </is>
      </c>
      <c r="L6" s="4" t="n">
        <v>-0.013</v>
      </c>
      <c r="M6" s="5" t="n"/>
      <c r="N6" s="3" t="n">
        <v>10.235</v>
      </c>
      <c r="O6" s="3" t="n">
        <v>10.33252253211117</v>
      </c>
      <c r="P6" s="6">
        <f>IF(OR(G6="",O6=""),"",SIGN(F6)*(O6-G6))</f>
        <v/>
      </c>
      <c r="Q6" s="3" t="n">
        <v>10.43</v>
      </c>
      <c r="R6" s="5" t="n"/>
      <c r="S6" s="6">
        <f>IF(OR(M6="",Q6=""),"",SIGN(F6)*(M6-Q6))</f>
        <v/>
      </c>
      <c r="T6" s="2" t="inlineStr"/>
      <c r="U6">
        <f>IF(K6="not answered","not answered",IF(AND(K6="decline",C6="private",N(P6)&gt;0.1),"declined: 10c+ inside the mid",IF(AND(S6&lt;&gt;"",N(S6)&lt;0),"bid short of the reserve","")))</f>
        <v/>
      </c>
      <c r="V6" s="2" t="n">
        <v>152</v>
      </c>
      <c r="W6" s="7">
        <f>IF(U6="declined: 10c+ inside the mid",P6*ABS(F6),0)</f>
        <v/>
      </c>
      <c r="X6" s="2" t="n">
        <v>7</v>
      </c>
      <c r="Y6" s="6" t="n"/>
      <c r="Z6" s="2" t="inlineStr">
        <is>
          <t>run 20261011-094605 (local)</t>
        </is>
      </c>
    </row>
    <row r="7">
      <c r="A7" s="2" t="n">
        <v>6</v>
      </c>
      <c r="B7" s="2" t="n">
        <v>29</v>
      </c>
      <c r="C7" s="2" t="inlineStr">
        <is>
          <t>private</t>
        </is>
      </c>
      <c r="D7" s="2" t="inlineStr">
        <is>
          <t>BUY</t>
        </is>
      </c>
      <c r="E7" s="2" t="inlineStr">
        <is>
          <t>CRZY</t>
        </is>
      </c>
      <c r="F7" s="2" t="n">
        <v>50000</v>
      </c>
      <c r="G7" s="3" t="n">
        <v>10.24</v>
      </c>
      <c r="H7" s="2" t="n">
        <v>136</v>
      </c>
      <c r="I7" s="2" t="n">
        <v>159</v>
      </c>
      <c r="J7" s="2" t="n">
        <v>156</v>
      </c>
      <c r="K7" s="2" t="inlineStr">
        <is>
          <t>decline</t>
        </is>
      </c>
      <c r="L7" s="4" t="n">
        <v>-0.4211</v>
      </c>
      <c r="M7" s="5" t="n"/>
      <c r="N7" s="3" t="n">
        <v>10.175</v>
      </c>
      <c r="O7" s="3" t="n">
        <v>10.32273605998338</v>
      </c>
      <c r="P7" s="6">
        <f>IF(OR(G7="",O7=""),"",SIGN(F7)*(O7-G7))</f>
        <v/>
      </c>
      <c r="Q7" s="3" t="n">
        <v>10.19</v>
      </c>
      <c r="R7" s="5" t="n"/>
      <c r="S7" s="6">
        <f>IF(OR(M7="",Q7=""),"",SIGN(F7)*(M7-Q7))</f>
        <v/>
      </c>
      <c r="T7" s="2" t="inlineStr"/>
      <c r="U7">
        <f>IF(K7="not answered","not answered",IF(AND(K7="decline",C7="private",N(P7)&gt;0.1),"declined: 10c+ inside the mid",IF(AND(S7&lt;&gt;"",N(S7)&lt;0),"bid short of the reserve","")))</f>
        <v/>
      </c>
      <c r="V7" s="2" t="n">
        <v>156</v>
      </c>
      <c r="W7" s="7">
        <f>IF(U7="declined: 10c+ inside the mid",P7*ABS(F7),0)</f>
        <v/>
      </c>
      <c r="X7" s="2" t="n">
        <v>7</v>
      </c>
      <c r="Y7" s="6" t="n"/>
      <c r="Z7" s="2" t="inlineStr">
        <is>
          <t>run 20261011-094605 (local)</t>
        </is>
      </c>
    </row>
    <row r="8">
      <c r="A8" s="2" t="n">
        <v>7</v>
      </c>
      <c r="B8" s="2" t="n">
        <v>37</v>
      </c>
      <c r="C8" s="2" t="inlineStr">
        <is>
          <t>private</t>
        </is>
      </c>
      <c r="D8" s="2" t="inlineStr">
        <is>
          <t>SELL</t>
        </is>
      </c>
      <c r="E8" s="2" t="inlineStr">
        <is>
          <t>CROC</t>
        </is>
      </c>
      <c r="F8" s="2" t="n">
        <v>-10000</v>
      </c>
      <c r="G8" s="3" t="n">
        <v>20.12</v>
      </c>
      <c r="H8" s="2" t="n">
        <v>152</v>
      </c>
      <c r="I8" s="2" t="n">
        <v>176</v>
      </c>
      <c r="J8" s="2" t="n">
        <v>173</v>
      </c>
      <c r="K8" s="2" t="inlineStr">
        <is>
          <t>ACCEPT</t>
        </is>
      </c>
      <c r="L8" s="4" t="n">
        <v>0.2213</v>
      </c>
      <c r="M8" s="5" t="n"/>
      <c r="N8" s="3" t="n">
        <v>19.825</v>
      </c>
      <c r="O8" s="3" t="n">
        <v>19.87729784101193</v>
      </c>
      <c r="P8" s="6">
        <f>IF(OR(G8="",O8=""),"",SIGN(F8)*(O8-G8))</f>
        <v/>
      </c>
      <c r="Q8" s="3" t="n">
        <v>19.89</v>
      </c>
      <c r="R8" s="5" t="n"/>
      <c r="S8" s="6">
        <f>IF(OR(M8="",Q8=""),"",SIGN(F8)*(M8-Q8))</f>
        <v/>
      </c>
      <c r="T8" s="2" t="inlineStr"/>
      <c r="U8">
        <f>IF(K8="not answered","not answered",IF(AND(K8="decline",C8="private",N(P8)&gt;0.1),"declined: 10c+ inside the mid",IF(AND(S8&lt;&gt;"",N(S8)&lt;0),"bid short of the reserve","")))</f>
        <v/>
      </c>
      <c r="V8" s="2" t="n">
        <v>173</v>
      </c>
      <c r="W8" s="7">
        <f>IF(U8="declined: 10c+ inside the mid",P8*ABS(F8),0)</f>
        <v/>
      </c>
      <c r="X8" s="2" t="n">
        <v>7</v>
      </c>
      <c r="Y8" s="6" t="n"/>
      <c r="Z8" s="2" t="inlineStr">
        <is>
          <t>run 20261011-094605 (local)</t>
        </is>
      </c>
    </row>
    <row r="9">
      <c r="A9" s="2" t="n">
        <v>8</v>
      </c>
      <c r="B9" s="2" t="n">
        <v>45</v>
      </c>
      <c r="C9" s="2" t="inlineStr">
        <is>
          <t>auction</t>
        </is>
      </c>
      <c r="D9" s="2" t="inlineStr">
        <is>
          <t>SELL</t>
        </is>
      </c>
      <c r="E9" s="2" t="inlineStr">
        <is>
          <t>CRZY</t>
        </is>
      </c>
      <c r="F9" s="2" t="n">
        <v>-50000</v>
      </c>
      <c r="G9" s="5" t="n"/>
      <c r="H9" s="2" t="n">
        <v>158</v>
      </c>
      <c r="I9" s="2" t="n">
        <v>188</v>
      </c>
      <c r="J9" s="2" t="n">
        <v>158</v>
      </c>
      <c r="K9" s="2" t="inlineStr">
        <is>
          <t>ACCEPT</t>
        </is>
      </c>
      <c r="L9" s="4" t="n">
        <v>0.05</v>
      </c>
      <c r="M9" s="3" t="n">
        <v>10.36</v>
      </c>
      <c r="N9" s="3" t="n">
        <v>10.155</v>
      </c>
      <c r="O9" s="3" t="n">
        <v>10.15011845835539</v>
      </c>
      <c r="P9" s="6">
        <f>IF(OR(G9="",O9=""),"",SIGN(F9)*(O9-G9))</f>
        <v/>
      </c>
      <c r="Q9" s="3" t="n">
        <v>10.29</v>
      </c>
      <c r="R9" s="5" t="n"/>
      <c r="S9" s="6">
        <f>IF(OR(M9="",Q9=""),"",SIGN(F9)*(M9-Q9))</f>
        <v/>
      </c>
      <c r="T9" s="2" t="inlineStr">
        <is>
          <t>rejected</t>
        </is>
      </c>
      <c r="U9">
        <f>IF(K9="not answered","not answered",IF(AND(K9="decline",C9="private",N(P9)&gt;0.1),"declined: 10c+ inside the mid",IF(AND(S9&lt;&gt;"",N(S9)&lt;0),"bid short of the reserve","")))</f>
        <v/>
      </c>
      <c r="V9" s="2" t="n">
        <v>158</v>
      </c>
      <c r="W9" s="7">
        <f>IF(U9="declined: 10c+ inside the mid",P9*ABS(F9),0)</f>
        <v/>
      </c>
      <c r="X9" s="2" t="n">
        <v>7</v>
      </c>
      <c r="Y9" s="6" t="n"/>
      <c r="Z9" s="2" t="inlineStr">
        <is>
          <t>run 20261011-094605 (local)</t>
        </is>
      </c>
    </row>
    <row r="10">
      <c r="A10" s="2" t="n">
        <v>9</v>
      </c>
      <c r="B10" s="2" t="n">
        <v>47</v>
      </c>
      <c r="C10" s="2" t="inlineStr">
        <is>
          <t>private</t>
        </is>
      </c>
      <c r="D10" s="2" t="inlineStr">
        <is>
          <t>SELL</t>
        </is>
      </c>
      <c r="E10" s="2" t="inlineStr">
        <is>
          <t>TAME</t>
        </is>
      </c>
      <c r="F10" s="2" t="n">
        <v>-20000</v>
      </c>
      <c r="G10" s="3" t="n">
        <v>25.7</v>
      </c>
      <c r="H10" s="2" t="n">
        <v>159</v>
      </c>
      <c r="I10" s="2" t="n">
        <v>175</v>
      </c>
      <c r="J10" s="2" t="n">
        <v>172</v>
      </c>
      <c r="K10" s="2" t="inlineStr">
        <is>
          <t>ACCEPT</t>
        </is>
      </c>
      <c r="L10" s="4" t="n">
        <v>0.0377</v>
      </c>
      <c r="M10" s="5" t="n"/>
      <c r="N10" s="3" t="n">
        <v>25.595</v>
      </c>
      <c r="O10" s="3" t="n">
        <v>25.75081380286782</v>
      </c>
      <c r="P10" s="6">
        <f>IF(OR(G10="",O10=""),"",SIGN(F10)*(O10-G10))</f>
        <v/>
      </c>
      <c r="Q10" s="3" t="n">
        <v>25.75</v>
      </c>
      <c r="R10" s="5" t="n"/>
      <c r="S10" s="6">
        <f>IF(OR(M10="",Q10=""),"",SIGN(F10)*(M10-Q10))</f>
        <v/>
      </c>
      <c r="T10" s="2" t="inlineStr"/>
      <c r="U10">
        <f>IF(K10="not answered","not answered",IF(AND(K10="decline",C10="private",N(P10)&gt;0.1),"declined: 10c+ inside the mid",IF(AND(S10&lt;&gt;"",N(S10)&lt;0),"bid short of the reserve","")))</f>
        <v/>
      </c>
      <c r="V10" s="2" t="n">
        <v>172</v>
      </c>
      <c r="W10" s="7">
        <f>IF(U10="declined: 10c+ inside the mid",P10*ABS(F10),0)</f>
        <v/>
      </c>
      <c r="X10" s="2" t="n">
        <v>7</v>
      </c>
      <c r="Y10" s="6" t="n"/>
      <c r="Z10" s="2" t="inlineStr">
        <is>
          <t>run 20261011-094605 (local)</t>
        </is>
      </c>
    </row>
    <row r="11">
      <c r="A11" s="2" t="n">
        <v>10</v>
      </c>
      <c r="B11" s="2" t="n">
        <v>48</v>
      </c>
      <c r="C11" s="2" t="inlineStr">
        <is>
          <t>private</t>
        </is>
      </c>
      <c r="D11" s="2" t="inlineStr">
        <is>
          <t>SELL</t>
        </is>
      </c>
      <c r="E11" s="2" t="inlineStr">
        <is>
          <t>CRZY</t>
        </is>
      </c>
      <c r="F11" s="2" t="n">
        <v>-30000</v>
      </c>
      <c r="G11" s="3" t="n">
        <v>10.43</v>
      </c>
      <c r="H11" s="2" t="n">
        <v>165</v>
      </c>
      <c r="I11" s="2" t="n">
        <v>194</v>
      </c>
      <c r="J11" s="2" t="n">
        <v>191</v>
      </c>
      <c r="K11" s="2" t="inlineStr">
        <is>
          <t>decline</t>
        </is>
      </c>
      <c r="L11" s="4" t="n">
        <v>-0.02</v>
      </c>
      <c r="M11" s="5" t="n"/>
      <c r="N11" s="3" t="n">
        <v>10.345</v>
      </c>
      <c r="O11" s="3" t="n">
        <v>10.2566821700433</v>
      </c>
      <c r="P11" s="6">
        <f>IF(OR(G11="",O11=""),"",SIGN(F11)*(O11-G11))</f>
        <v/>
      </c>
      <c r="Q11" s="3" t="n">
        <v>10.26</v>
      </c>
      <c r="R11" s="5" t="n"/>
      <c r="S11" s="6">
        <f>IF(OR(M11="",Q11=""),"",SIGN(F11)*(M11-Q11))</f>
        <v/>
      </c>
      <c r="T11" s="2" t="inlineStr"/>
      <c r="U11">
        <f>IF(K11="not answered","not answered",IF(AND(K11="decline",C11="private",N(P11)&gt;0.1),"declined: 10c+ inside the mid",IF(AND(S11&lt;&gt;"",N(S11)&lt;0),"bid short of the reserve","")))</f>
        <v/>
      </c>
      <c r="V11" s="2" t="n">
        <v>191</v>
      </c>
      <c r="W11" s="7">
        <f>IF(U11="declined: 10c+ inside the mid",P11*ABS(F11),0)</f>
        <v/>
      </c>
      <c r="X11" s="2" t="n">
        <v>7</v>
      </c>
      <c r="Y11" s="6" t="n"/>
      <c r="Z11" s="2" t="inlineStr">
        <is>
          <t>run 20261011-094605 (local)</t>
        </is>
      </c>
    </row>
    <row r="12">
      <c r="A12" s="2" t="n">
        <v>11</v>
      </c>
      <c r="B12" s="2" t="n">
        <v>49</v>
      </c>
      <c r="C12" s="2" t="inlineStr">
        <is>
          <t>private</t>
        </is>
      </c>
      <c r="D12" s="2" t="inlineStr">
        <is>
          <t>SELL</t>
        </is>
      </c>
      <c r="E12" s="2" t="inlineStr">
        <is>
          <t>CROC</t>
        </is>
      </c>
      <c r="F12" s="2" t="n">
        <v>-20000</v>
      </c>
      <c r="G12" s="3" t="n">
        <v>20.05</v>
      </c>
      <c r="H12" s="2" t="n">
        <v>167</v>
      </c>
      <c r="I12" s="2" t="n">
        <v>197</v>
      </c>
      <c r="J12" s="2" t="n">
        <v>194</v>
      </c>
      <c r="K12" s="2" t="inlineStr">
        <is>
          <t>decline</t>
        </is>
      </c>
      <c r="L12" s="4" t="n">
        <v>-0.2273</v>
      </c>
      <c r="M12" s="5" t="n"/>
      <c r="N12" s="3" t="n">
        <v>20.125</v>
      </c>
      <c r="O12" s="3" t="n">
        <v>19.89282737677086</v>
      </c>
      <c r="P12" s="6">
        <f>IF(OR(G12="",O12=""),"",SIGN(F12)*(O12-G12))</f>
        <v/>
      </c>
      <c r="Q12" s="3" t="n">
        <v>19.93</v>
      </c>
      <c r="R12" s="5" t="n"/>
      <c r="S12" s="6">
        <f>IF(OR(M12="",Q12=""),"",SIGN(F12)*(M12-Q12))</f>
        <v/>
      </c>
      <c r="T12" s="2" t="inlineStr"/>
      <c r="U12">
        <f>IF(K12="not answered","not answered",IF(AND(K12="decline",C12="private",N(P12)&gt;0.1),"declined: 10c+ inside the mid",IF(AND(S12&lt;&gt;"",N(S12)&lt;0),"bid short of the reserve","")))</f>
        <v/>
      </c>
      <c r="V12" s="2" t="n">
        <v>194</v>
      </c>
      <c r="W12" s="7">
        <f>IF(U12="declined: 10c+ inside the mid",P12*ABS(F12),0)</f>
        <v/>
      </c>
      <c r="X12" s="2" t="n">
        <v>7</v>
      </c>
      <c r="Y12" s="6" t="n"/>
      <c r="Z12" s="2" t="inlineStr">
        <is>
          <t>run 20261011-094605 (local)</t>
        </is>
      </c>
    </row>
    <row r="13">
      <c r="A13" s="2" t="n">
        <v>12</v>
      </c>
      <c r="B13" s="2" t="n">
        <v>62</v>
      </c>
      <c r="C13" s="2" t="inlineStr">
        <is>
          <t>auction</t>
        </is>
      </c>
      <c r="D13" s="2" t="inlineStr">
        <is>
          <t>BUY</t>
        </is>
      </c>
      <c r="E13" s="2" t="inlineStr">
        <is>
          <t>CRZY</t>
        </is>
      </c>
      <c r="F13" s="2" t="n">
        <v>50000</v>
      </c>
      <c r="G13" s="5" t="n"/>
      <c r="H13" s="2" t="n">
        <v>188</v>
      </c>
      <c r="I13" s="2" t="n">
        <v>211</v>
      </c>
      <c r="J13" s="2" t="n">
        <v>208</v>
      </c>
      <c r="K13" s="2" t="inlineStr">
        <is>
          <t>decline</t>
        </is>
      </c>
      <c r="L13" s="6" t="n"/>
      <c r="M13" s="5" t="n"/>
      <c r="N13" s="3" t="n">
        <v>10.285</v>
      </c>
      <c r="O13" s="3" t="n">
        <v>10.31896143278454</v>
      </c>
      <c r="P13" s="6">
        <f>IF(OR(G13="",O13=""),"",SIGN(F13)*(O13-G13))</f>
        <v/>
      </c>
      <c r="Q13" s="3" t="n">
        <v>10.25</v>
      </c>
      <c r="R13" s="5" t="n"/>
      <c r="S13" s="6">
        <f>IF(OR(M13="",Q13=""),"",SIGN(F13)*(M13-Q13))</f>
        <v/>
      </c>
      <c r="T13" s="2" t="inlineStr"/>
      <c r="U13">
        <f>IF(K13="not answered","not answered",IF(AND(K13="decline",C13="private",N(P13)&gt;0.1),"declined: 10c+ inside the mid",IF(AND(S13&lt;&gt;"",N(S13)&lt;0),"bid short of the reserve","")))</f>
        <v/>
      </c>
      <c r="V13" s="2" t="n">
        <v>208</v>
      </c>
      <c r="W13" s="7">
        <f>IF(U13="declined: 10c+ inside the mid",P13*ABS(F13),0)</f>
        <v/>
      </c>
      <c r="X13" s="2" t="n">
        <v>7</v>
      </c>
      <c r="Y13" s="6" t="n"/>
      <c r="Z13" s="2" t="inlineStr">
        <is>
          <t>run 20261011-094605 (local)</t>
        </is>
      </c>
    </row>
    <row r="14">
      <c r="A14" s="2" t="n">
        <v>13</v>
      </c>
      <c r="B14" s="2" t="n">
        <v>63</v>
      </c>
      <c r="C14" s="2" t="inlineStr">
        <is>
          <t>private</t>
        </is>
      </c>
      <c r="D14" s="2" t="inlineStr">
        <is>
          <t>BUY</t>
        </is>
      </c>
      <c r="E14" s="2" t="inlineStr">
        <is>
          <t>TAME</t>
        </is>
      </c>
      <c r="F14" s="2" t="n">
        <v>30000</v>
      </c>
      <c r="G14" s="3" t="n">
        <v>25.44</v>
      </c>
      <c r="H14" s="2" t="n">
        <v>189</v>
      </c>
      <c r="I14" s="2" t="n">
        <v>204</v>
      </c>
      <c r="J14" s="2" t="n">
        <v>202</v>
      </c>
      <c r="K14" s="2" t="inlineStr">
        <is>
          <t>ACCEPT</t>
        </is>
      </c>
      <c r="L14" s="4" t="n">
        <v>0.0507</v>
      </c>
      <c r="M14" s="5" t="n"/>
      <c r="N14" s="3" t="n">
        <v>25.575</v>
      </c>
      <c r="O14" s="3" t="n">
        <v>25.56430668527129</v>
      </c>
      <c r="P14" s="6">
        <f>IF(OR(G14="",O14=""),"",SIGN(F14)*(O14-G14))</f>
        <v/>
      </c>
      <c r="Q14" s="3" t="n">
        <v>25.49</v>
      </c>
      <c r="R14" s="5" t="n"/>
      <c r="S14" s="6">
        <f>IF(OR(M14="",Q14=""),"",SIGN(F14)*(M14-Q14))</f>
        <v/>
      </c>
      <c r="T14" s="2" t="inlineStr"/>
      <c r="U14">
        <f>IF(K14="not answered","not answered",IF(AND(K14="decline",C14="private",N(P14)&gt;0.1),"declined: 10c+ inside the mid",IF(AND(S14&lt;&gt;"",N(S14)&lt;0),"bid short of the reserve","")))</f>
        <v/>
      </c>
      <c r="V14" s="2" t="n">
        <v>202</v>
      </c>
      <c r="W14" s="7">
        <f>IF(U14="declined: 10c+ inside the mid",P14*ABS(F14),0)</f>
        <v/>
      </c>
      <c r="X14" s="2" t="n">
        <v>7</v>
      </c>
      <c r="Y14" s="6" t="n"/>
      <c r="Z14" s="2" t="inlineStr">
        <is>
          <t>run 20261011-094605 (local)</t>
        </is>
      </c>
    </row>
    <row r="15">
      <c r="A15" s="2" t="n">
        <v>14</v>
      </c>
      <c r="B15" s="2" t="n">
        <v>64</v>
      </c>
      <c r="C15" s="2" t="inlineStr">
        <is>
          <t>wta</t>
        </is>
      </c>
      <c r="D15" s="2" t="inlineStr">
        <is>
          <t>BUY</t>
        </is>
      </c>
      <c r="E15" s="2" t="inlineStr">
        <is>
          <t>CROC</t>
        </is>
      </c>
      <c r="F15" s="2" t="n">
        <v>30000</v>
      </c>
      <c r="G15" s="5" t="n"/>
      <c r="H15" s="2" t="n">
        <v>192</v>
      </c>
      <c r="I15" s="2" t="n">
        <v>208</v>
      </c>
      <c r="J15" s="2" t="n">
        <v>205</v>
      </c>
      <c r="K15" s="2" t="inlineStr">
        <is>
          <t>ACCEPT</t>
        </is>
      </c>
      <c r="L15" s="4" t="n">
        <v>0.05</v>
      </c>
      <c r="M15" s="3" t="n">
        <v>20.1</v>
      </c>
      <c r="N15" s="3" t="n">
        <v>20.225</v>
      </c>
      <c r="O15" s="3" t="n">
        <v>20.03768472114448</v>
      </c>
      <c r="P15" s="6">
        <f>IF(OR(G15="",O15=""),"",SIGN(F15)*(O15-G15))</f>
        <v/>
      </c>
      <c r="Q15" s="3" t="n">
        <v>19.97</v>
      </c>
      <c r="R15" s="3" t="n">
        <v>20.03</v>
      </c>
      <c r="S15" s="6">
        <f>IF(OR(M15="",Q15=""),"",SIGN(F15)*(M15-Q15))</f>
        <v/>
      </c>
      <c r="T15" s="2" t="inlineStr"/>
      <c r="U15">
        <f>IF(K15="not answered","not answered",IF(AND(K15="decline",C15="private",N(P15)&gt;0.1),"declined: 10c+ inside the mid",IF(AND(S15&lt;&gt;"",N(S15)&lt;0),"bid short of the reserve","")))</f>
        <v/>
      </c>
      <c r="V15" s="2" t="n">
        <v>205</v>
      </c>
      <c r="W15" s="7">
        <f>IF(U15="declined: 10c+ inside the mid",P15*ABS(F15),0)</f>
        <v/>
      </c>
      <c r="X15" s="2" t="n">
        <v>7</v>
      </c>
      <c r="Y15" s="6" t="n"/>
      <c r="Z15" s="2" t="inlineStr">
        <is>
          <t>run 20261011-094605 (local)</t>
        </is>
      </c>
    </row>
    <row r="16">
      <c r="A16" s="2" t="n">
        <v>15</v>
      </c>
      <c r="B16" s="2" t="n">
        <v>65</v>
      </c>
      <c r="C16" s="2" t="inlineStr">
        <is>
          <t>private</t>
        </is>
      </c>
      <c r="D16" s="2" t="inlineStr">
        <is>
          <t>SELL</t>
        </is>
      </c>
      <c r="E16" s="2" t="inlineStr">
        <is>
          <t>CROC</t>
        </is>
      </c>
      <c r="F16" s="2" t="n">
        <v>-30000</v>
      </c>
      <c r="G16" s="3" t="n">
        <v>20.18</v>
      </c>
      <c r="H16" s="2" t="n">
        <v>193</v>
      </c>
      <c r="I16" s="2" t="n">
        <v>220</v>
      </c>
      <c r="J16" s="2" t="n">
        <v>217</v>
      </c>
      <c r="K16" s="2" t="inlineStr">
        <is>
          <t>decline</t>
        </is>
      </c>
      <c r="L16" s="4" t="n">
        <v>-0.0264</v>
      </c>
      <c r="M16" s="5" t="n"/>
      <c r="N16" s="3" t="n">
        <v>20.135</v>
      </c>
      <c r="O16" s="3" t="n">
        <v>20.05665841512521</v>
      </c>
      <c r="P16" s="6">
        <f>IF(OR(G16="",O16=""),"",SIGN(F16)*(O16-G16))</f>
        <v/>
      </c>
      <c r="Q16" s="3" t="n">
        <v>20.14</v>
      </c>
      <c r="R16" s="5" t="n"/>
      <c r="S16" s="6">
        <f>IF(OR(M16="",Q16=""),"",SIGN(F16)*(M16-Q16))</f>
        <v/>
      </c>
      <c r="T16" s="2" t="inlineStr"/>
      <c r="U16">
        <f>IF(K16="not answered","not answered",IF(AND(K16="decline",C16="private",N(P16)&gt;0.1),"declined: 10c+ inside the mid",IF(AND(S16&lt;&gt;"",N(S16)&lt;0),"bid short of the reserve","")))</f>
        <v/>
      </c>
      <c r="V16" s="2" t="n">
        <v>217</v>
      </c>
      <c r="W16" s="7">
        <f>IF(U16="declined: 10c+ inside the mid",P16*ABS(F16),0)</f>
        <v/>
      </c>
      <c r="X16" s="2" t="n">
        <v>7</v>
      </c>
      <c r="Y16" s="6" t="n"/>
      <c r="Z16" s="2" t="inlineStr">
        <is>
          <t>run 20261011-094605 (local)</t>
        </is>
      </c>
    </row>
    <row r="17">
      <c r="A17" s="2" t="n">
        <v>16</v>
      </c>
      <c r="B17" s="2" t="n">
        <v>66</v>
      </c>
      <c r="C17" s="2" t="inlineStr">
        <is>
          <t>private</t>
        </is>
      </c>
      <c r="D17" s="2" t="inlineStr">
        <is>
          <t>SELL</t>
        </is>
      </c>
      <c r="E17" s="2" t="inlineStr">
        <is>
          <t>TAME</t>
        </is>
      </c>
      <c r="F17" s="2" t="n">
        <v>-50000</v>
      </c>
      <c r="G17" s="3" t="n">
        <v>25.71</v>
      </c>
      <c r="H17" s="2" t="n">
        <v>198</v>
      </c>
      <c r="I17" s="2" t="n">
        <v>225</v>
      </c>
      <c r="J17" s="2" t="n">
        <v>223</v>
      </c>
      <c r="K17" s="2" t="inlineStr">
        <is>
          <t>ACCEPT</t>
        </is>
      </c>
      <c r="L17" s="4" t="n">
        <v>0.0759</v>
      </c>
      <c r="M17" s="5" t="n"/>
      <c r="N17" s="3" t="n">
        <v>25.555</v>
      </c>
      <c r="O17" s="3" t="n">
        <v>25.57158777094191</v>
      </c>
      <c r="P17" s="6">
        <f>IF(OR(G17="",O17=""),"",SIGN(F17)*(O17-G17))</f>
        <v/>
      </c>
      <c r="Q17" s="3" t="n">
        <v>25.61</v>
      </c>
      <c r="R17" s="5" t="n"/>
      <c r="S17" s="6">
        <f>IF(OR(M17="",Q17=""),"",SIGN(F17)*(M17-Q17))</f>
        <v/>
      </c>
      <c r="T17" s="2" t="inlineStr"/>
      <c r="U17">
        <f>IF(K17="not answered","not answered",IF(AND(K17="decline",C17="private",N(P17)&gt;0.1),"declined: 10c+ inside the mid",IF(AND(S17&lt;&gt;"",N(S17)&lt;0),"bid short of the reserve","")))</f>
        <v/>
      </c>
      <c r="V17" s="2" t="n">
        <v>223</v>
      </c>
      <c r="W17" s="7">
        <f>IF(U17="declined: 10c+ inside the mid",P17*ABS(F17),0)</f>
        <v/>
      </c>
      <c r="X17" s="2" t="n">
        <v>7</v>
      </c>
      <c r="Y17" s="6" t="n"/>
      <c r="Z17" s="2" t="inlineStr">
        <is>
          <t>run 20261011-094605 (local)</t>
        </is>
      </c>
    </row>
    <row r="18">
      <c r="A18" s="2" t="n">
        <v>17</v>
      </c>
      <c r="B18" s="2" t="n">
        <v>67</v>
      </c>
      <c r="C18" s="2" t="inlineStr">
        <is>
          <t>private</t>
        </is>
      </c>
      <c r="D18" s="2" t="inlineStr">
        <is>
          <t>BUY</t>
        </is>
      </c>
      <c r="E18" s="2" t="inlineStr">
        <is>
          <t>CRZY</t>
        </is>
      </c>
      <c r="F18" s="2" t="n">
        <v>30000</v>
      </c>
      <c r="G18" s="3" t="n">
        <v>10.23</v>
      </c>
      <c r="H18" s="2" t="n">
        <v>214</v>
      </c>
      <c r="I18" s="2" t="n">
        <v>232</v>
      </c>
      <c r="J18" s="2" t="n">
        <v>228</v>
      </c>
      <c r="K18" s="2" t="inlineStr">
        <is>
          <t>decline</t>
        </is>
      </c>
      <c r="L18" s="4" t="n">
        <v>-0.1495</v>
      </c>
      <c r="M18" s="5" t="n"/>
      <c r="N18" s="3" t="n">
        <v>10.235</v>
      </c>
      <c r="O18" s="3" t="n">
        <v>10.24047789314998</v>
      </c>
      <c r="P18" s="6">
        <f>IF(OR(G18="",O18=""),"",SIGN(F18)*(O18-G18))</f>
        <v/>
      </c>
      <c r="Q18" s="3" t="n">
        <v>10.11</v>
      </c>
      <c r="R18" s="5" t="n"/>
      <c r="S18" s="6">
        <f>IF(OR(M18="",Q18=""),"",SIGN(F18)*(M18-Q18))</f>
        <v/>
      </c>
      <c r="T18" s="2" t="inlineStr"/>
      <c r="U18">
        <f>IF(K18="not answered","not answered",IF(AND(K18="decline",C18="private",N(P18)&gt;0.1),"declined: 10c+ inside the mid",IF(AND(S18&lt;&gt;"",N(S18)&lt;0),"bid short of the reserve","")))</f>
        <v/>
      </c>
      <c r="V18" s="2" t="n">
        <v>228</v>
      </c>
      <c r="W18" s="7">
        <f>IF(U18="declined: 10c+ inside the mid",P18*ABS(F18),0)</f>
        <v/>
      </c>
      <c r="X18" s="2" t="n">
        <v>7</v>
      </c>
      <c r="Y18" s="6" t="n"/>
      <c r="Z18" s="2" t="inlineStr">
        <is>
          <t>run 20261011-094605 (local)</t>
        </is>
      </c>
    </row>
    <row r="19">
      <c r="A19" s="2" t="n">
        <v>18</v>
      </c>
      <c r="B19" s="2" t="n">
        <v>75</v>
      </c>
      <c r="C19" s="2" t="inlineStr">
        <is>
          <t>private</t>
        </is>
      </c>
      <c r="D19" s="2" t="inlineStr">
        <is>
          <t>SELL</t>
        </is>
      </c>
      <c r="E19" s="2" t="inlineStr">
        <is>
          <t>TAME</t>
        </is>
      </c>
      <c r="F19" s="2" t="n">
        <v>-50000</v>
      </c>
      <c r="G19" s="3" t="n">
        <v>25.55</v>
      </c>
      <c r="H19" s="2" t="n">
        <v>225</v>
      </c>
      <c r="I19" s="2" t="n">
        <v>255</v>
      </c>
      <c r="J19" s="2" t="n">
        <v>224</v>
      </c>
      <c r="K19" s="2" t="inlineStr">
        <is>
          <t>decline</t>
        </is>
      </c>
      <c r="L19" s="6" t="n"/>
      <c r="M19" s="5" t="n"/>
      <c r="N19" s="3" t="n">
        <v>25.525</v>
      </c>
      <c r="O19" s="3" t="n">
        <v>25.52742484198918</v>
      </c>
      <c r="P19" s="6">
        <f>IF(OR(G19="",O19=""),"",SIGN(F19)*(O19-G19))</f>
        <v/>
      </c>
      <c r="Q19" s="3" t="n">
        <v>25.53</v>
      </c>
      <c r="R19" s="5" t="n"/>
      <c r="S19" s="6">
        <f>IF(OR(M19="",Q19=""),"",SIGN(F19)*(M19-Q19))</f>
        <v/>
      </c>
      <c r="T19" s="2" t="inlineStr"/>
      <c r="U19">
        <f>IF(K19="not answered","not answered",IF(AND(K19="decline",C19="private",N(P19)&gt;0.1),"declined: 10c+ inside the mid",IF(AND(S19&lt;&gt;"",N(S19)&lt;0),"bid short of the reserve","")))</f>
        <v/>
      </c>
      <c r="V19" s="2" t="n">
        <v>224</v>
      </c>
      <c r="W19" s="7">
        <f>IF(U19="declined: 10c+ inside the mid",P19*ABS(F19),0)</f>
        <v/>
      </c>
      <c r="X19" s="2" t="n">
        <v>7</v>
      </c>
      <c r="Y19" s="6" t="n"/>
      <c r="Z19" s="2" t="inlineStr">
        <is>
          <t>run 20261011-094605 (local)</t>
        </is>
      </c>
    </row>
    <row r="20">
      <c r="A20" s="2" t="n">
        <v>19</v>
      </c>
      <c r="B20" s="2" t="n">
        <v>81</v>
      </c>
      <c r="C20" s="2" t="inlineStr">
        <is>
          <t>private</t>
        </is>
      </c>
      <c r="D20" s="2" t="inlineStr">
        <is>
          <t>SELL</t>
        </is>
      </c>
      <c r="E20" s="2" t="inlineStr">
        <is>
          <t>CROC</t>
        </is>
      </c>
      <c r="F20" s="2" t="n">
        <v>-30000</v>
      </c>
      <c r="G20" s="3" t="n">
        <v>20.07</v>
      </c>
      <c r="H20" s="2" t="n">
        <v>229</v>
      </c>
      <c r="I20" s="2" t="n">
        <v>249</v>
      </c>
      <c r="J20" s="2" t="n">
        <v>247</v>
      </c>
      <c r="K20" s="2" t="inlineStr">
        <is>
          <t>ACCEPT</t>
        </is>
      </c>
      <c r="L20" s="4" t="n">
        <v>0.0951</v>
      </c>
      <c r="M20" s="5" t="n"/>
      <c r="N20" s="3" t="n">
        <v>19.895</v>
      </c>
      <c r="O20" s="3" t="n">
        <v>19.9583582050933</v>
      </c>
      <c r="P20" s="6">
        <f>IF(OR(G20="",O20=""),"",SIGN(F20)*(O20-G20))</f>
        <v/>
      </c>
      <c r="Q20" s="3" t="n">
        <v>20.02</v>
      </c>
      <c r="R20" s="5" t="n"/>
      <c r="S20" s="6">
        <f>IF(OR(M20="",Q20=""),"",SIGN(F20)*(M20-Q20))</f>
        <v/>
      </c>
      <c r="T20" s="2" t="inlineStr"/>
      <c r="U20">
        <f>IF(K20="not answered","not answered",IF(AND(K20="decline",C20="private",N(P20)&gt;0.1),"declined: 10c+ inside the mid",IF(AND(S20&lt;&gt;"",N(S20)&lt;0),"bid short of the reserve","")))</f>
        <v/>
      </c>
      <c r="V20" s="2" t="n">
        <v>247</v>
      </c>
      <c r="W20" s="7">
        <f>IF(U20="declined: 10c+ inside the mid",P20*ABS(F20),0)</f>
        <v/>
      </c>
      <c r="X20" s="2" t="n">
        <v>7</v>
      </c>
      <c r="Y20" s="6" t="n"/>
      <c r="Z20" s="2" t="inlineStr">
        <is>
          <t>run 20261011-094605 (local)</t>
        </is>
      </c>
    </row>
    <row r="21">
      <c r="A21" s="2" t="n">
        <v>20</v>
      </c>
      <c r="B21" s="2" t="n">
        <v>85</v>
      </c>
      <c r="C21" s="2" t="inlineStr">
        <is>
          <t>private</t>
        </is>
      </c>
      <c r="D21" s="2" t="inlineStr">
        <is>
          <t>BUY</t>
        </is>
      </c>
      <c r="E21" s="2" t="inlineStr">
        <is>
          <t>TAME</t>
        </is>
      </c>
      <c r="F21" s="2" t="n">
        <v>30000</v>
      </c>
      <c r="G21" s="3" t="n">
        <v>25.49</v>
      </c>
      <c r="H21" s="2" t="n">
        <v>231</v>
      </c>
      <c r="I21" s="2" t="n">
        <v>258</v>
      </c>
      <c r="J21" s="2" t="n">
        <v>256</v>
      </c>
      <c r="K21" s="2" t="inlineStr">
        <is>
          <t>ACCEPT</t>
        </is>
      </c>
      <c r="L21" s="4" t="n">
        <v>0.0125</v>
      </c>
      <c r="M21" s="5" t="n"/>
      <c r="N21" s="3" t="n">
        <v>25.595</v>
      </c>
      <c r="O21" s="3" t="n">
        <v>25.57064773804635</v>
      </c>
      <c r="P21" s="6">
        <f>IF(OR(G21="",O21=""),"",SIGN(F21)*(O21-G21))</f>
        <v/>
      </c>
      <c r="Q21" s="3" t="n">
        <v>25.43</v>
      </c>
      <c r="R21" s="5" t="n"/>
      <c r="S21" s="6">
        <f>IF(OR(M21="",Q21=""),"",SIGN(F21)*(M21-Q21))</f>
        <v/>
      </c>
      <c r="T21" s="2" t="inlineStr"/>
      <c r="U21">
        <f>IF(K21="not answered","not answered",IF(AND(K21="decline",C21="private",N(P21)&gt;0.1),"declined: 10c+ inside the mid",IF(AND(S21&lt;&gt;"",N(S21)&lt;0),"bid short of the reserve","")))</f>
        <v/>
      </c>
      <c r="V21" s="2" t="n">
        <v>256</v>
      </c>
      <c r="W21" s="7">
        <f>IF(U21="declined: 10c+ inside the mid",P21*ABS(F21),0)</f>
        <v/>
      </c>
      <c r="X21" s="2" t="n">
        <v>7</v>
      </c>
      <c r="Y21" s="6" t="n"/>
      <c r="Z21" s="2" t="inlineStr">
        <is>
          <t>run 20261011-094605 (local)</t>
        </is>
      </c>
    </row>
    <row r="22">
      <c r="A22" s="2" t="n">
        <v>21</v>
      </c>
      <c r="B22" s="2" t="n">
        <v>88</v>
      </c>
      <c r="C22" s="2" t="inlineStr">
        <is>
          <t>auction</t>
        </is>
      </c>
      <c r="D22" s="2" t="inlineStr">
        <is>
          <t>SELL</t>
        </is>
      </c>
      <c r="E22" s="2" t="inlineStr">
        <is>
          <t>CRZY</t>
        </is>
      </c>
      <c r="F22" s="2" t="n">
        <v>-50000</v>
      </c>
      <c r="G22" s="5" t="n"/>
      <c r="H22" s="2" t="n">
        <v>252</v>
      </c>
      <c r="I22" s="2" t="n">
        <v>278</v>
      </c>
      <c r="J22" s="2" t="n">
        <v>275</v>
      </c>
      <c r="K22" s="2" t="inlineStr">
        <is>
          <t>ACCEPT</t>
        </is>
      </c>
      <c r="L22" s="4" t="n">
        <v>0.05</v>
      </c>
      <c r="M22" s="3" t="n">
        <v>10.74</v>
      </c>
      <c r="N22" s="3" t="n">
        <v>10.405</v>
      </c>
      <c r="O22" s="3" t="n">
        <v>10.26378026779645</v>
      </c>
      <c r="P22" s="6">
        <f>IF(OR(G22="",O22=""),"",SIGN(F22)*(O22-G22))</f>
        <v/>
      </c>
      <c r="Q22" s="3" t="n">
        <v>10.36</v>
      </c>
      <c r="R22" s="5" t="n"/>
      <c r="S22" s="6">
        <f>IF(OR(M22="",Q22=""),"",SIGN(F22)*(M22-Q22))</f>
        <v/>
      </c>
      <c r="T22" s="2" t="inlineStr">
        <is>
          <t>rejected</t>
        </is>
      </c>
      <c r="U22">
        <f>IF(K22="not answered","not answered",IF(AND(K22="decline",C22="private",N(P22)&gt;0.1),"declined: 10c+ inside the mid",IF(AND(S22&lt;&gt;"",N(S22)&lt;0),"bid short of the reserve","")))</f>
        <v/>
      </c>
      <c r="V22" s="2" t="n">
        <v>275</v>
      </c>
      <c r="W22" s="7">
        <f>IF(U22="declined: 10c+ inside the mid",P22*ABS(F22),0)</f>
        <v/>
      </c>
      <c r="X22" s="2" t="n">
        <v>7</v>
      </c>
      <c r="Y22" s="6" t="n"/>
      <c r="Z22" s="2" t="inlineStr">
        <is>
          <t>run 20261011-094605 (local)</t>
        </is>
      </c>
    </row>
    <row r="23">
      <c r="A23" s="2" t="n">
        <v>22</v>
      </c>
      <c r="B23" s="2" t="n">
        <v>92</v>
      </c>
      <c r="C23" s="2" t="inlineStr">
        <is>
          <t>private</t>
        </is>
      </c>
      <c r="D23" s="2" t="inlineStr">
        <is>
          <t>BUY</t>
        </is>
      </c>
      <c r="E23" s="2" t="inlineStr">
        <is>
          <t>CRZY</t>
        </is>
      </c>
      <c r="F23" s="2" t="n">
        <v>50000</v>
      </c>
      <c r="G23" s="3" t="n">
        <v>10.33</v>
      </c>
      <c r="H23" s="2" t="n">
        <v>255</v>
      </c>
      <c r="I23" s="2" t="n">
        <v>283</v>
      </c>
      <c r="J23" s="2" t="n">
        <v>279</v>
      </c>
      <c r="K23" s="2" t="inlineStr">
        <is>
          <t>decline</t>
        </is>
      </c>
      <c r="L23" s="4" t="n">
        <v>-0.1248</v>
      </c>
      <c r="M23" s="5" t="n"/>
      <c r="N23" s="3" t="n">
        <v>10.425</v>
      </c>
      <c r="O23" s="3" t="n">
        <v>10.32226654920183</v>
      </c>
      <c r="P23" s="6">
        <f>IF(OR(G23="",O23=""),"",SIGN(F23)*(O23-G23))</f>
        <v/>
      </c>
      <c r="Q23" s="3" t="n">
        <v>10.17</v>
      </c>
      <c r="R23" s="5" t="n"/>
      <c r="S23" s="6">
        <f>IF(OR(M23="",Q23=""),"",SIGN(F23)*(M23-Q23))</f>
        <v/>
      </c>
      <c r="T23" s="2" t="inlineStr"/>
      <c r="U23">
        <f>IF(K23="not answered","not answered",IF(AND(K23="decline",C23="private",N(P23)&gt;0.1),"declined: 10c+ inside the mid",IF(AND(S23&lt;&gt;"",N(S23)&lt;0),"bid short of the reserve","")))</f>
        <v/>
      </c>
      <c r="V23" s="2" t="n">
        <v>279</v>
      </c>
      <c r="W23" s="7">
        <f>IF(U23="declined: 10c+ inside the mid",P23*ABS(F23),0)</f>
        <v/>
      </c>
      <c r="X23" s="2" t="n">
        <v>7</v>
      </c>
      <c r="Y23" s="6" t="n"/>
      <c r="Z23" s="2" t="inlineStr">
        <is>
          <t>run 20261011-094605 (local)</t>
        </is>
      </c>
    </row>
    <row r="24">
      <c r="A24" s="2" t="n">
        <v>23</v>
      </c>
      <c r="B24" s="2" t="n">
        <v>114</v>
      </c>
      <c r="C24" s="2" t="inlineStr">
        <is>
          <t>private</t>
        </is>
      </c>
      <c r="D24" s="2" t="inlineStr">
        <is>
          <t>BUY</t>
        </is>
      </c>
      <c r="E24" s="2" t="inlineStr">
        <is>
          <t>CROC</t>
        </is>
      </c>
      <c r="F24" s="2" t="n">
        <v>10000</v>
      </c>
      <c r="G24" s="3" t="n">
        <v>19.86</v>
      </c>
      <c r="H24" s="2" t="n">
        <v>272</v>
      </c>
      <c r="I24" s="2" t="n">
        <v>292</v>
      </c>
      <c r="J24" s="2" t="n">
        <v>288</v>
      </c>
      <c r="K24" s="2" t="inlineStr">
        <is>
          <t>ACCEPT</t>
        </is>
      </c>
      <c r="L24" s="4" t="n">
        <v>0.1714</v>
      </c>
      <c r="M24" s="5" t="n"/>
      <c r="N24" s="3" t="n">
        <v>20.105</v>
      </c>
      <c r="O24" s="3" t="n">
        <v>20.07590093890994</v>
      </c>
      <c r="P24" s="6">
        <f>IF(OR(G24="",O24=""),"",SIGN(F24)*(O24-G24))</f>
        <v/>
      </c>
      <c r="Q24" s="3" t="n">
        <v>19.95</v>
      </c>
      <c r="R24" s="5" t="n"/>
      <c r="S24" s="6">
        <f>IF(OR(M24="",Q24=""),"",SIGN(F24)*(M24-Q24))</f>
        <v/>
      </c>
      <c r="T24" s="2" t="inlineStr"/>
      <c r="U24">
        <f>IF(K24="not answered","not answered",IF(AND(K24="decline",C24="private",N(P24)&gt;0.1),"declined: 10c+ inside the mid",IF(AND(S24&lt;&gt;"",N(S24)&lt;0),"bid short of the reserve","")))</f>
        <v/>
      </c>
      <c r="V24" s="2" t="n">
        <v>288</v>
      </c>
      <c r="W24" s="7">
        <f>IF(U24="declined: 10c+ inside the mid",P24*ABS(F24),0)</f>
        <v/>
      </c>
      <c r="X24" s="2" t="n">
        <v>7</v>
      </c>
      <c r="Y24" s="6" t="n"/>
      <c r="Z24" s="2" t="inlineStr">
        <is>
          <t>run 20261011-094605 (local)</t>
        </is>
      </c>
    </row>
    <row r="25">
      <c r="A25" s="2" t="n">
        <v>24</v>
      </c>
      <c r="B25" s="2" t="n">
        <v>115</v>
      </c>
      <c r="C25" s="2" t="inlineStr">
        <is>
          <t>wta</t>
        </is>
      </c>
      <c r="D25" s="2" t="inlineStr">
        <is>
          <t>SELL</t>
        </is>
      </c>
      <c r="E25" s="2" t="inlineStr">
        <is>
          <t>CRZY</t>
        </is>
      </c>
      <c r="F25" s="2" t="n">
        <v>-10000</v>
      </c>
      <c r="G25" s="5" t="n"/>
      <c r="H25" s="2" t="n">
        <v>275</v>
      </c>
      <c r="I25" s="2" t="n">
        <v>296</v>
      </c>
      <c r="J25" s="2" t="n">
        <v>293</v>
      </c>
      <c r="K25" s="2" t="inlineStr">
        <is>
          <t>ACCEPT</t>
        </is>
      </c>
      <c r="L25" s="4" t="n">
        <v>0.05</v>
      </c>
      <c r="M25" s="3" t="n">
        <v>10.54</v>
      </c>
      <c r="N25" s="3" t="n">
        <v>10.445</v>
      </c>
      <c r="O25" s="3" t="n">
        <v>10.40858771734265</v>
      </c>
      <c r="P25" s="6">
        <f>IF(OR(G25="",O25=""),"",SIGN(F25)*(O25-G25))</f>
        <v/>
      </c>
      <c r="Q25" s="3" t="n">
        <v>10.45</v>
      </c>
      <c r="R25" s="3" t="n">
        <v>10.4</v>
      </c>
      <c r="S25" s="6">
        <f>IF(OR(M25="",Q25=""),"",SIGN(F25)*(M25-Q25))</f>
        <v/>
      </c>
      <c r="T25" s="2" t="inlineStr"/>
      <c r="U25">
        <f>IF(K25="not answered","not answered",IF(AND(K25="decline",C25="private",N(P25)&gt;0.1),"declined: 10c+ inside the mid",IF(AND(S25&lt;&gt;"",N(S25)&lt;0),"bid short of the reserve","")))</f>
        <v/>
      </c>
      <c r="V25" s="2" t="n">
        <v>293</v>
      </c>
      <c r="W25" s="7">
        <f>IF(U25="declined: 10c+ inside the mid",P25*ABS(F25),0)</f>
        <v/>
      </c>
      <c r="X25" s="2" t="n">
        <v>7</v>
      </c>
      <c r="Y25" s="6" t="n"/>
      <c r="Z25" s="2" t="inlineStr">
        <is>
          <t>run 20261011-094605 (local)</t>
        </is>
      </c>
    </row>
    <row r="26">
      <c r="A26" s="2" t="n">
        <v>25</v>
      </c>
      <c r="B26" s="2" t="n">
        <v>116</v>
      </c>
      <c r="C26" s="2" t="inlineStr">
        <is>
          <t>private</t>
        </is>
      </c>
      <c r="D26" s="2" t="inlineStr">
        <is>
          <t>BUY</t>
        </is>
      </c>
      <c r="E26" s="2" t="inlineStr">
        <is>
          <t>CRZY</t>
        </is>
      </c>
      <c r="F26" s="2" t="n">
        <v>50000</v>
      </c>
      <c r="G26" s="3" t="n">
        <v>10.45</v>
      </c>
      <c r="H26" s="2" t="n">
        <v>286</v>
      </c>
      <c r="I26" s="2" t="n">
        <v>313</v>
      </c>
      <c r="J26" s="2" t="n">
        <v>310</v>
      </c>
      <c r="K26" s="2" t="inlineStr">
        <is>
          <t>decline</t>
        </is>
      </c>
      <c r="L26" s="4" t="n">
        <v>-0.2756</v>
      </c>
      <c r="M26" s="5" t="n"/>
      <c r="N26" s="3" t="n">
        <v>10.395</v>
      </c>
      <c r="O26" s="3" t="n">
        <v>10.52127158107799</v>
      </c>
      <c r="P26" s="6">
        <f>IF(OR(G26="",O26=""),"",SIGN(F26)*(O26-G26))</f>
        <v/>
      </c>
      <c r="Q26" s="3" t="n">
        <v>10.48</v>
      </c>
      <c r="R26" s="5" t="n"/>
      <c r="S26" s="6">
        <f>IF(OR(M26="",Q26=""),"",SIGN(F26)*(M26-Q26))</f>
        <v/>
      </c>
      <c r="T26" s="2" t="inlineStr"/>
      <c r="U26">
        <f>IF(K26="not answered","not answered",IF(AND(K26="decline",C26="private",N(P26)&gt;0.1),"declined: 10c+ inside the mid",IF(AND(S26&lt;&gt;"",N(S26)&lt;0),"bid short of the reserve","")))</f>
        <v/>
      </c>
      <c r="V26" s="2" t="n">
        <v>310</v>
      </c>
      <c r="W26" s="7">
        <f>IF(U26="declined: 10c+ inside the mid",P26*ABS(F26),0)</f>
        <v/>
      </c>
      <c r="X26" s="2" t="n">
        <v>7</v>
      </c>
      <c r="Y26" s="6" t="n"/>
      <c r="Z26" s="2" t="inlineStr">
        <is>
          <t>run 20261011-094605 (local)</t>
        </is>
      </c>
    </row>
    <row r="27">
      <c r="A27" s="2" t="n">
        <v>26</v>
      </c>
      <c r="B27" s="2" t="n">
        <v>119</v>
      </c>
      <c r="C27" s="2" t="inlineStr">
        <is>
          <t>auction</t>
        </is>
      </c>
      <c r="D27" s="2" t="inlineStr">
        <is>
          <t>BUY</t>
        </is>
      </c>
      <c r="E27" s="2" t="inlineStr">
        <is>
          <t>TAME</t>
        </is>
      </c>
      <c r="F27" s="2" t="n">
        <v>30000</v>
      </c>
      <c r="G27" s="5" t="n"/>
      <c r="H27" s="2" t="n">
        <v>294</v>
      </c>
      <c r="I27" s="2" t="n">
        <v>324</v>
      </c>
      <c r="J27" s="2" t="n">
        <v>320</v>
      </c>
      <c r="K27" s="2" t="inlineStr">
        <is>
          <t>ACCEPT</t>
        </is>
      </c>
      <c r="L27" s="4" t="n">
        <v>0.05</v>
      </c>
      <c r="M27" s="3" t="n">
        <v>25.45</v>
      </c>
      <c r="N27" s="3" t="n">
        <v>25.565</v>
      </c>
      <c r="O27" s="3" t="n">
        <v>25.54485860312493</v>
      </c>
      <c r="P27" s="6">
        <f>IF(OR(G27="",O27=""),"",SIGN(F27)*(O27-G27))</f>
        <v/>
      </c>
      <c r="Q27" s="3" t="n">
        <v>25.52</v>
      </c>
      <c r="R27" s="5" t="n"/>
      <c r="S27" s="6">
        <f>IF(OR(M27="",Q27=""),"",SIGN(F27)*(M27-Q27))</f>
        <v/>
      </c>
      <c r="T27" s="2" t="inlineStr">
        <is>
          <t>rejected</t>
        </is>
      </c>
      <c r="U27">
        <f>IF(K27="not answered","not answered",IF(AND(K27="decline",C27="private",N(P27)&gt;0.1),"declined: 10c+ inside the mid",IF(AND(S27&lt;&gt;"",N(S27)&lt;0),"bid short of the reserve","")))</f>
        <v/>
      </c>
      <c r="V27" s="2" t="n">
        <v>320</v>
      </c>
      <c r="W27" s="7">
        <f>IF(U27="declined: 10c+ inside the mid",P27*ABS(F27),0)</f>
        <v/>
      </c>
      <c r="X27" s="2" t="n">
        <v>7</v>
      </c>
      <c r="Y27" s="6" t="n"/>
      <c r="Z27" s="2" t="inlineStr">
        <is>
          <t>run 20261011-094605 (local)</t>
        </is>
      </c>
    </row>
    <row r="28">
      <c r="A28" s="2" t="n">
        <v>27</v>
      </c>
      <c r="B28" s="2" t="n">
        <v>122</v>
      </c>
      <c r="C28" s="2" t="inlineStr">
        <is>
          <t>auction</t>
        </is>
      </c>
      <c r="D28" s="2" t="inlineStr">
        <is>
          <t>BUY</t>
        </is>
      </c>
      <c r="E28" s="2" t="inlineStr">
        <is>
          <t>TAME</t>
        </is>
      </c>
      <c r="F28" s="2" t="n">
        <v>50000</v>
      </c>
      <c r="G28" s="5" t="n"/>
      <c r="H28" s="2" t="n">
        <v>304</v>
      </c>
      <c r="I28" s="2" t="n">
        <v>326</v>
      </c>
      <c r="J28" s="2" t="n">
        <v>322</v>
      </c>
      <c r="K28" s="2" t="inlineStr">
        <is>
          <t>ACCEPT</t>
        </is>
      </c>
      <c r="L28" s="4" t="n">
        <v>0.05</v>
      </c>
      <c r="M28" s="3" t="n">
        <v>25.49</v>
      </c>
      <c r="N28" s="3" t="n">
        <v>25.595</v>
      </c>
      <c r="O28" s="3" t="n">
        <v>25.64080649571119</v>
      </c>
      <c r="P28" s="6">
        <f>IF(OR(G28="",O28=""),"",SIGN(F28)*(O28-G28))</f>
        <v/>
      </c>
      <c r="Q28" s="3" t="n">
        <v>25.61</v>
      </c>
      <c r="R28" s="5" t="n"/>
      <c r="S28" s="6">
        <f>IF(OR(M28="",Q28=""),"",SIGN(F28)*(M28-Q28))</f>
        <v/>
      </c>
      <c r="T28" s="2" t="inlineStr">
        <is>
          <t>rejected</t>
        </is>
      </c>
      <c r="U28">
        <f>IF(K28="not answered","not answered",IF(AND(K28="decline",C28="private",N(P28)&gt;0.1),"declined: 10c+ inside the mid",IF(AND(S28&lt;&gt;"",N(S28)&lt;0),"bid short of the reserve","")))</f>
        <v/>
      </c>
      <c r="V28" s="2" t="n">
        <v>322</v>
      </c>
      <c r="W28" s="7">
        <f>IF(U28="declined: 10c+ inside the mid",P28*ABS(F28),0)</f>
        <v/>
      </c>
      <c r="X28" s="2" t="n">
        <v>7</v>
      </c>
      <c r="Y28" s="6" t="n"/>
      <c r="Z28" s="2" t="inlineStr">
        <is>
          <t>run 20261011-094605 (local)</t>
        </is>
      </c>
    </row>
    <row r="29">
      <c r="A29" s="2" t="n">
        <v>28</v>
      </c>
      <c r="B29" s="2" t="n">
        <v>123</v>
      </c>
      <c r="C29" s="2" t="inlineStr">
        <is>
          <t>auction</t>
        </is>
      </c>
      <c r="D29" s="2" t="inlineStr">
        <is>
          <t>SELL</t>
        </is>
      </c>
      <c r="E29" s="2" t="inlineStr">
        <is>
          <t>CROC</t>
        </is>
      </c>
      <c r="F29" s="2" t="n">
        <v>-30000</v>
      </c>
      <c r="G29" s="5" t="n"/>
      <c r="H29" s="2" t="n">
        <v>328</v>
      </c>
      <c r="I29" s="2" t="n">
        <v>350</v>
      </c>
      <c r="J29" s="2" t="n">
        <v>347</v>
      </c>
      <c r="K29" s="2" t="inlineStr">
        <is>
          <t>ACCEPT</t>
        </is>
      </c>
      <c r="L29" s="4" t="n">
        <v>0.05</v>
      </c>
      <c r="M29" s="3" t="n">
        <v>20.89</v>
      </c>
      <c r="N29" s="3" t="n">
        <v>20.715</v>
      </c>
      <c r="O29" s="3" t="n">
        <v>20.52935821024222</v>
      </c>
      <c r="P29" s="6">
        <f>IF(OR(G29="",O29=""),"",SIGN(F29)*(O29-G29))</f>
        <v/>
      </c>
      <c r="Q29" s="3" t="n">
        <v>20.66</v>
      </c>
      <c r="R29" s="5" t="n"/>
      <c r="S29" s="6">
        <f>IF(OR(M29="",Q29=""),"",SIGN(F29)*(M29-Q29))</f>
        <v/>
      </c>
      <c r="T29" s="2" t="inlineStr">
        <is>
          <t>rejected</t>
        </is>
      </c>
      <c r="U29">
        <f>IF(K29="not answered","not answered",IF(AND(K29="decline",C29="private",N(P29)&gt;0.1),"declined: 10c+ inside the mid",IF(AND(S29&lt;&gt;"",N(S29)&lt;0),"bid short of the reserve","")))</f>
        <v/>
      </c>
      <c r="V29" s="2" t="n">
        <v>347</v>
      </c>
      <c r="W29" s="7">
        <f>IF(U29="declined: 10c+ inside the mid",P29*ABS(F29),0)</f>
        <v/>
      </c>
      <c r="X29" s="2" t="n">
        <v>7</v>
      </c>
      <c r="Y29" s="6" t="n"/>
      <c r="Z29" s="2" t="inlineStr">
        <is>
          <t>run 20261011-094605 (local)</t>
        </is>
      </c>
    </row>
    <row r="30">
      <c r="A30" s="2" t="n">
        <v>29</v>
      </c>
      <c r="B30" s="2" t="n">
        <v>124</v>
      </c>
      <c r="C30" s="2" t="inlineStr">
        <is>
          <t>private</t>
        </is>
      </c>
      <c r="D30" s="2" t="inlineStr">
        <is>
          <t>SELL</t>
        </is>
      </c>
      <c r="E30" s="2" t="inlineStr">
        <is>
          <t>CROC</t>
        </is>
      </c>
      <c r="F30" s="2" t="n">
        <v>-20000</v>
      </c>
      <c r="G30" s="3" t="n">
        <v>20.82</v>
      </c>
      <c r="H30" s="2" t="n">
        <v>341</v>
      </c>
      <c r="I30" s="2" t="n">
        <v>370</v>
      </c>
      <c r="J30" s="2" t="n">
        <v>367</v>
      </c>
      <c r="K30" s="2" t="inlineStr">
        <is>
          <t>ACCEPT</t>
        </is>
      </c>
      <c r="L30" s="4" t="n">
        <v>0.2423</v>
      </c>
      <c r="M30" s="5" t="n"/>
      <c r="N30" s="3" t="n">
        <v>20.445</v>
      </c>
      <c r="O30" s="3" t="n">
        <v>20.56968724736963</v>
      </c>
      <c r="P30" s="6">
        <f>IF(OR(G30="",O30=""),"",SIGN(F30)*(O30-G30))</f>
        <v/>
      </c>
      <c r="Q30" s="3" t="n">
        <v>20.66</v>
      </c>
      <c r="R30" s="5" t="n"/>
      <c r="S30" s="6">
        <f>IF(OR(M30="",Q30=""),"",SIGN(F30)*(M30-Q30))</f>
        <v/>
      </c>
      <c r="T30" s="2" t="inlineStr"/>
      <c r="U30">
        <f>IF(K30="not answered","not answered",IF(AND(K30="decline",C30="private",N(P30)&gt;0.1),"declined: 10c+ inside the mid",IF(AND(S30&lt;&gt;"",N(S30)&lt;0),"bid short of the reserve","")))</f>
        <v/>
      </c>
      <c r="V30" s="2" t="n">
        <v>367</v>
      </c>
      <c r="W30" s="7">
        <f>IF(U30="declined: 10c+ inside the mid",P30*ABS(F30),0)</f>
        <v/>
      </c>
      <c r="X30" s="2" t="n">
        <v>7</v>
      </c>
      <c r="Y30" s="6" t="n"/>
      <c r="Z30" s="2" t="inlineStr">
        <is>
          <t>run 20261011-094605 (local)</t>
        </is>
      </c>
    </row>
    <row r="31">
      <c r="A31" s="2" t="n">
        <v>30</v>
      </c>
      <c r="B31" s="2" t="n">
        <v>125</v>
      </c>
      <c r="C31" s="2" t="inlineStr">
        <is>
          <t>private</t>
        </is>
      </c>
      <c r="D31" s="2" t="inlineStr">
        <is>
          <t>SELL</t>
        </is>
      </c>
      <c r="E31" s="2" t="inlineStr">
        <is>
          <t>CROC</t>
        </is>
      </c>
      <c r="F31" s="2" t="n">
        <v>-50000</v>
      </c>
      <c r="G31" s="3" t="n">
        <v>20.57</v>
      </c>
      <c r="H31" s="2" t="n">
        <v>344</v>
      </c>
      <c r="I31" s="2" t="n">
        <v>362</v>
      </c>
      <c r="J31" s="2" t="n">
        <v>359</v>
      </c>
      <c r="K31" s="2" t="inlineStr">
        <is>
          <t>decline</t>
        </is>
      </c>
      <c r="L31" s="4" t="n">
        <v>-0.1568</v>
      </c>
      <c r="M31" s="5" t="n"/>
      <c r="N31" s="3" t="n">
        <v>20.625</v>
      </c>
      <c r="O31" s="3" t="n">
        <v>20.64456655236237</v>
      </c>
      <c r="P31" s="6">
        <f>IF(OR(G31="",O31=""),"",SIGN(F31)*(O31-G31))</f>
        <v/>
      </c>
      <c r="Q31" s="3" t="n">
        <v>20.69</v>
      </c>
      <c r="R31" s="5" t="n"/>
      <c r="S31" s="6">
        <f>IF(OR(M31="",Q31=""),"",SIGN(F31)*(M31-Q31))</f>
        <v/>
      </c>
      <c r="T31" s="2" t="inlineStr"/>
      <c r="U31">
        <f>IF(K31="not answered","not answered",IF(AND(K31="decline",C31="private",N(P31)&gt;0.1),"declined: 10c+ inside the mid",IF(AND(S31&lt;&gt;"",N(S31)&lt;0),"bid short of the reserve","")))</f>
        <v/>
      </c>
      <c r="V31" s="2" t="n">
        <v>359</v>
      </c>
      <c r="W31" s="7">
        <f>IF(U31="declined: 10c+ inside the mid",P31*ABS(F31),0)</f>
        <v/>
      </c>
      <c r="X31" s="2" t="n">
        <v>7</v>
      </c>
      <c r="Y31" s="6" t="n"/>
      <c r="Z31" s="2" t="inlineStr">
        <is>
          <t>run 20261011-094605 (local)</t>
        </is>
      </c>
    </row>
    <row r="32">
      <c r="A32" s="2" t="n">
        <v>31</v>
      </c>
      <c r="B32" s="2" t="n">
        <v>126</v>
      </c>
      <c r="C32" s="2" t="inlineStr">
        <is>
          <t>auction</t>
        </is>
      </c>
      <c r="D32" s="2" t="inlineStr">
        <is>
          <t>BUY</t>
        </is>
      </c>
      <c r="E32" s="2" t="inlineStr">
        <is>
          <t>CROC</t>
        </is>
      </c>
      <c r="F32" s="2" t="n">
        <v>10000</v>
      </c>
      <c r="G32" s="5" t="n"/>
      <c r="H32" s="2" t="n">
        <v>355</v>
      </c>
      <c r="I32" s="2" t="n">
        <v>385</v>
      </c>
      <c r="J32" s="2" t="n">
        <v>382</v>
      </c>
      <c r="K32" s="2" t="inlineStr">
        <is>
          <t>ACCEPT</t>
        </is>
      </c>
      <c r="L32" s="4" t="n">
        <v>0.05</v>
      </c>
      <c r="M32" s="3" t="n">
        <v>20.53</v>
      </c>
      <c r="N32" s="3" t="n">
        <v>20.595</v>
      </c>
      <c r="O32" s="3" t="n">
        <v>20.69846012136458</v>
      </c>
      <c r="P32" s="6">
        <f>IF(OR(G32="",O32=""),"",SIGN(F32)*(O32-G32))</f>
        <v/>
      </c>
      <c r="Q32" s="3" t="n">
        <v>20.63</v>
      </c>
      <c r="R32" s="5" t="n"/>
      <c r="S32" s="6">
        <f>IF(OR(M32="",Q32=""),"",SIGN(F32)*(M32-Q32))</f>
        <v/>
      </c>
      <c r="T32" s="2" t="inlineStr">
        <is>
          <t>rejected</t>
        </is>
      </c>
      <c r="U32">
        <f>IF(K32="not answered","not answered",IF(AND(K32="decline",C32="private",N(P32)&gt;0.1),"declined: 10c+ inside the mid",IF(AND(S32&lt;&gt;"",N(S32)&lt;0),"bid short of the reserve","")))</f>
        <v/>
      </c>
      <c r="V32" s="2" t="n">
        <v>382</v>
      </c>
      <c r="W32" s="7">
        <f>IF(U32="declined: 10c+ inside the mid",P32*ABS(F32),0)</f>
        <v/>
      </c>
      <c r="X32" s="2" t="n">
        <v>7</v>
      </c>
      <c r="Y32" s="6" t="n"/>
      <c r="Z32" s="2" t="inlineStr">
        <is>
          <t>run 20261011-094605 (local)</t>
        </is>
      </c>
    </row>
    <row r="33">
      <c r="A33" s="2" t="n">
        <v>32</v>
      </c>
      <c r="B33" s="2" t="n">
        <v>127</v>
      </c>
      <c r="C33" s="2" t="inlineStr">
        <is>
          <t>private</t>
        </is>
      </c>
      <c r="D33" s="2" t="inlineStr">
        <is>
          <t>SELL</t>
        </is>
      </c>
      <c r="E33" s="2" t="inlineStr">
        <is>
          <t>CROC</t>
        </is>
      </c>
      <c r="F33" s="2" t="n">
        <v>-20000</v>
      </c>
      <c r="G33" s="3" t="n">
        <v>20.62</v>
      </c>
      <c r="H33" s="2" t="n">
        <v>356</v>
      </c>
      <c r="I33" s="2" t="n">
        <v>374</v>
      </c>
      <c r="J33" s="2" t="n">
        <v>371</v>
      </c>
      <c r="K33" s="2" t="inlineStr">
        <is>
          <t>decline</t>
        </is>
      </c>
      <c r="L33" s="4" t="n">
        <v>-0.0259</v>
      </c>
      <c r="M33" s="5" t="n"/>
      <c r="N33" s="3" t="n">
        <v>20.545</v>
      </c>
      <c r="O33" s="3" t="n">
        <v>20.69654666924874</v>
      </c>
      <c r="P33" s="6">
        <f>IF(OR(G33="",O33=""),"",SIGN(F33)*(O33-G33))</f>
        <v/>
      </c>
      <c r="Q33" s="3" t="n">
        <v>20.79</v>
      </c>
      <c r="R33" s="5" t="n"/>
      <c r="S33" s="6">
        <f>IF(OR(M33="",Q33=""),"",SIGN(F33)*(M33-Q33))</f>
        <v/>
      </c>
      <c r="T33" s="2" t="inlineStr"/>
      <c r="U33">
        <f>IF(K33="not answered","not answered",IF(AND(K33="decline",C33="private",N(P33)&gt;0.1),"declined: 10c+ inside the mid",IF(AND(S33&lt;&gt;"",N(S33)&lt;0),"bid short of the reserve","")))</f>
        <v/>
      </c>
      <c r="V33" s="2" t="n">
        <v>371</v>
      </c>
      <c r="W33" s="7">
        <f>IF(U33="declined: 10c+ inside the mid",P33*ABS(F33),0)</f>
        <v/>
      </c>
      <c r="X33" s="2" t="n">
        <v>7</v>
      </c>
      <c r="Y33" s="6" t="n"/>
      <c r="Z33" s="2" t="inlineStr">
        <is>
          <t>run 20261011-094605 (local)</t>
        </is>
      </c>
    </row>
    <row r="34">
      <c r="A34" s="2" t="n">
        <v>33</v>
      </c>
      <c r="B34" s="2" t="n">
        <v>128</v>
      </c>
      <c r="C34" s="2" t="inlineStr">
        <is>
          <t>private</t>
        </is>
      </c>
      <c r="D34" s="2" t="inlineStr">
        <is>
          <t>BUY</t>
        </is>
      </c>
      <c r="E34" s="2" t="inlineStr">
        <is>
          <t>CRZY</t>
        </is>
      </c>
      <c r="F34" s="2" t="n">
        <v>30000</v>
      </c>
      <c r="G34" s="3" t="n">
        <v>10.02</v>
      </c>
      <c r="H34" s="2" t="n">
        <v>365</v>
      </c>
      <c r="I34" s="2" t="n">
        <v>386</v>
      </c>
      <c r="J34" s="2" t="n">
        <v>382</v>
      </c>
      <c r="K34" s="2" t="inlineStr">
        <is>
          <t>ACCEPT</t>
        </is>
      </c>
      <c r="L34" s="4" t="n">
        <v>0.0853</v>
      </c>
      <c r="M34" s="5" t="n"/>
      <c r="N34" s="3" t="n">
        <v>10.235</v>
      </c>
      <c r="O34" s="3" t="n">
        <v>10.24252321173251</v>
      </c>
      <c r="P34" s="6">
        <f>IF(OR(G34="",O34=""),"",SIGN(F34)*(O34-G34))</f>
        <v/>
      </c>
      <c r="Q34" s="3" t="n">
        <v>10.09</v>
      </c>
      <c r="R34" s="5" t="n"/>
      <c r="S34" s="6">
        <f>IF(OR(M34="",Q34=""),"",SIGN(F34)*(M34-Q34))</f>
        <v/>
      </c>
      <c r="T34" s="2" t="inlineStr"/>
      <c r="U34">
        <f>IF(K34="not answered","not answered",IF(AND(K34="decline",C34="private",N(P34)&gt;0.1),"declined: 10c+ inside the mid",IF(AND(S34&lt;&gt;"",N(S34)&lt;0),"bid short of the reserve","")))</f>
        <v/>
      </c>
      <c r="V34" s="2" t="n">
        <v>382</v>
      </c>
      <c r="W34" s="7">
        <f>IF(U34="declined: 10c+ inside the mid",P34*ABS(F34),0)</f>
        <v/>
      </c>
      <c r="X34" s="2" t="n">
        <v>7</v>
      </c>
      <c r="Y34" s="6" t="n"/>
      <c r="Z34" s="2" t="inlineStr">
        <is>
          <t>run 20261011-094605 (local)</t>
        </is>
      </c>
    </row>
    <row r="35">
      <c r="A35" s="2" t="n">
        <v>34</v>
      </c>
      <c r="B35" s="2" t="n">
        <v>129</v>
      </c>
      <c r="C35" s="2" t="inlineStr">
        <is>
          <t>auction</t>
        </is>
      </c>
      <c r="D35" s="2" t="inlineStr">
        <is>
          <t>BUY</t>
        </is>
      </c>
      <c r="E35" s="2" t="inlineStr">
        <is>
          <t>CRZY</t>
        </is>
      </c>
      <c r="F35" s="2" t="n">
        <v>30000</v>
      </c>
      <c r="G35" s="5" t="n"/>
      <c r="H35" s="2" t="n">
        <v>373</v>
      </c>
      <c r="I35" s="2" t="n">
        <v>393</v>
      </c>
      <c r="J35" s="2" t="n">
        <v>390</v>
      </c>
      <c r="K35" s="2" t="inlineStr">
        <is>
          <t>ACCEPT</t>
        </is>
      </c>
      <c r="L35" s="4" t="n">
        <v>0.05</v>
      </c>
      <c r="M35" s="3" t="n">
        <v>10.03</v>
      </c>
      <c r="N35" s="3" t="n">
        <v>10.155</v>
      </c>
      <c r="O35" s="3" t="n">
        <v>10.27222617472501</v>
      </c>
      <c r="P35" s="6">
        <f>IF(OR(G35="",O35=""),"",SIGN(F35)*(O35-G35))</f>
        <v/>
      </c>
      <c r="Q35" s="3" t="n">
        <v>10.2</v>
      </c>
      <c r="R35" s="5" t="n"/>
      <c r="S35" s="6">
        <f>IF(OR(M35="",Q35=""),"",SIGN(F35)*(M35-Q35))</f>
        <v/>
      </c>
      <c r="T35" s="2" t="inlineStr">
        <is>
          <t>rejected</t>
        </is>
      </c>
      <c r="U35">
        <f>IF(K35="not answered","not answered",IF(AND(K35="decline",C35="private",N(P35)&gt;0.1),"declined: 10c+ inside the mid",IF(AND(S35&lt;&gt;"",N(S35)&lt;0),"bid short of the reserve","")))</f>
        <v/>
      </c>
      <c r="V35" s="2" t="n">
        <v>390</v>
      </c>
      <c r="W35" s="7">
        <f>IF(U35="declined: 10c+ inside the mid",P35*ABS(F35),0)</f>
        <v/>
      </c>
      <c r="X35" s="2" t="n">
        <v>7</v>
      </c>
      <c r="Y35" s="6" t="n"/>
      <c r="Z35" s="2" t="inlineStr">
        <is>
          <t>run 20261011-094605 (local)</t>
        </is>
      </c>
    </row>
    <row r="36">
      <c r="A36" s="2" t="n">
        <v>35</v>
      </c>
      <c r="B36" s="2" t="n">
        <v>154</v>
      </c>
      <c r="C36" s="2" t="inlineStr">
        <is>
          <t>private</t>
        </is>
      </c>
      <c r="D36" s="2" t="inlineStr">
        <is>
          <t>SELL</t>
        </is>
      </c>
      <c r="E36" s="2" t="inlineStr">
        <is>
          <t>CROC</t>
        </is>
      </c>
      <c r="F36" s="2" t="n">
        <v>-50000</v>
      </c>
      <c r="G36" s="3" t="n">
        <v>20.75</v>
      </c>
      <c r="H36" s="2" t="n">
        <v>412</v>
      </c>
      <c r="I36" s="2" t="n">
        <v>439</v>
      </c>
      <c r="J36" s="2" t="n">
        <v>411</v>
      </c>
      <c r="K36" s="2" t="inlineStr">
        <is>
          <t>ACCEPT</t>
        </is>
      </c>
      <c r="L36" s="4" t="n">
        <v>0.1066</v>
      </c>
      <c r="M36" s="5" t="n"/>
      <c r="N36" s="3" t="n">
        <v>20.585</v>
      </c>
      <c r="O36" s="3" t="n">
        <v>20.58119762773022</v>
      </c>
      <c r="P36" s="6">
        <f>IF(OR(G36="",O36=""),"",SIGN(F36)*(O36-G36))</f>
        <v/>
      </c>
      <c r="Q36" s="3" t="n">
        <v>20.72</v>
      </c>
      <c r="R36" s="5" t="n"/>
      <c r="S36" s="6">
        <f>IF(OR(M36="",Q36=""),"",SIGN(F36)*(M36-Q36))</f>
        <v/>
      </c>
      <c r="T36" s="2" t="inlineStr"/>
      <c r="U36">
        <f>IF(K36="not answered","not answered",IF(AND(K36="decline",C36="private",N(P36)&gt;0.1),"declined: 10c+ inside the mid",IF(AND(S36&lt;&gt;"",N(S36)&lt;0),"bid short of the reserve","")))</f>
        <v/>
      </c>
      <c r="V36" s="2" t="n">
        <v>411</v>
      </c>
      <c r="W36" s="7">
        <f>IF(U36="declined: 10c+ inside the mid",P36*ABS(F36),0)</f>
        <v/>
      </c>
      <c r="X36" s="2" t="n">
        <v>7</v>
      </c>
      <c r="Y36" s="6" t="n"/>
      <c r="Z36" s="2" t="inlineStr">
        <is>
          <t>run 20261011-094605 (local)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Level</t>
        </is>
      </c>
      <c r="C1" s="1" t="inlineStr">
        <is>
          <t>Bid size</t>
        </is>
      </c>
      <c r="D1" s="1" t="inlineStr">
        <is>
          <t>Bid</t>
        </is>
      </c>
      <c r="E1" s="1" t="inlineStr">
        <is>
          <t>Ask</t>
        </is>
      </c>
      <c r="F1" s="1" t="inlineStr">
        <is>
          <t>Ask size</t>
        </is>
      </c>
    </row>
    <row r="2">
      <c r="A2" t="n">
        <v>1</v>
      </c>
      <c r="B2" t="n">
        <v>1</v>
      </c>
      <c r="C2" t="n">
        <v>6400</v>
      </c>
      <c r="D2" t="n">
        <v>20.16</v>
      </c>
      <c r="E2" t="n">
        <v>20.21</v>
      </c>
      <c r="F2" t="n">
        <v>6400</v>
      </c>
    </row>
    <row r="3">
      <c r="A3" t="n">
        <v>1</v>
      </c>
      <c r="B3" t="n">
        <v>2</v>
      </c>
      <c r="C3" t="n">
        <v>3200</v>
      </c>
      <c r="D3" t="n">
        <v>20.15</v>
      </c>
      <c r="E3" t="n">
        <v>20.22</v>
      </c>
      <c r="F3" t="n">
        <v>3200</v>
      </c>
    </row>
    <row r="4">
      <c r="A4" t="n">
        <v>1</v>
      </c>
      <c r="B4" t="n">
        <v>3</v>
      </c>
      <c r="C4" t="n">
        <v>12800</v>
      </c>
      <c r="D4" t="n">
        <v>20.14</v>
      </c>
      <c r="E4" t="n">
        <v>20.23</v>
      </c>
      <c r="F4" t="n">
        <v>3200</v>
      </c>
    </row>
    <row r="5">
      <c r="A5" t="n">
        <v>1</v>
      </c>
      <c r="B5" t="n">
        <v>4</v>
      </c>
      <c r="C5" t="n">
        <v>12800</v>
      </c>
      <c r="D5" t="n">
        <v>20.1</v>
      </c>
      <c r="E5" t="n">
        <v>20.27</v>
      </c>
      <c r="F5" t="n">
        <v>3200</v>
      </c>
    </row>
    <row r="6">
      <c r="A6" t="n">
        <v>1</v>
      </c>
      <c r="B6" t="n">
        <v>5</v>
      </c>
      <c r="C6" t="n">
        <v>6400</v>
      </c>
      <c r="D6" t="n">
        <v>20.08</v>
      </c>
      <c r="E6" t="n">
        <v>20.29</v>
      </c>
      <c r="F6" t="n">
        <v>9600</v>
      </c>
    </row>
    <row r="7">
      <c r="A7" t="n">
        <v>1</v>
      </c>
      <c r="B7" t="n">
        <v>6</v>
      </c>
      <c r="C7" t="n">
        <v>9600</v>
      </c>
      <c r="D7" t="n">
        <v>20.06</v>
      </c>
      <c r="E7" t="n">
        <v>20.31</v>
      </c>
      <c r="F7" t="n">
        <v>6400</v>
      </c>
    </row>
    <row r="8">
      <c r="A8" t="n">
        <v>1</v>
      </c>
      <c r="B8" t="n">
        <v>7</v>
      </c>
      <c r="C8" t="n">
        <v>3200</v>
      </c>
      <c r="D8" t="n">
        <v>19.98</v>
      </c>
      <c r="E8" t="n">
        <v>20.39</v>
      </c>
      <c r="F8" t="n">
        <v>3200</v>
      </c>
    </row>
    <row r="9">
      <c r="A9" t="n">
        <v>1</v>
      </c>
      <c r="B9" t="n">
        <v>8</v>
      </c>
      <c r="C9" t="n">
        <v>6400</v>
      </c>
      <c r="D9" t="n">
        <v>19.95</v>
      </c>
      <c r="E9" t="n">
        <v>20.42</v>
      </c>
      <c r="F9" t="n">
        <v>6400</v>
      </c>
    </row>
    <row r="10">
      <c r="A10" t="n">
        <v>1</v>
      </c>
      <c r="B10" t="n">
        <v>9</v>
      </c>
      <c r="C10" t="n">
        <v>6400</v>
      </c>
      <c r="D10" t="n">
        <v>19.92</v>
      </c>
      <c r="E10" t="n">
        <v>20.45</v>
      </c>
      <c r="F10" t="n">
        <v>9600</v>
      </c>
    </row>
    <row r="11">
      <c r="A11" t="n">
        <v>1</v>
      </c>
      <c r="B11" t="n">
        <v>10</v>
      </c>
      <c r="C11" t="n">
        <v>3200</v>
      </c>
      <c r="D11" t="n">
        <v>19.8</v>
      </c>
      <c r="E11" t="n">
        <v>20.57</v>
      </c>
      <c r="F11" t="n">
        <v>3200</v>
      </c>
    </row>
    <row r="12">
      <c r="A12" t="n">
        <v>1</v>
      </c>
      <c r="B12" t="n">
        <v>11</v>
      </c>
    </row>
    <row r="13">
      <c r="A13" t="n">
        <v>1</v>
      </c>
      <c r="B13" t="n">
        <v>12</v>
      </c>
    </row>
    <row r="14">
      <c r="A14" t="n">
        <v>1</v>
      </c>
      <c r="B14" t="n">
        <v>13</v>
      </c>
    </row>
    <row r="15">
      <c r="A15" t="n">
        <v>1</v>
      </c>
      <c r="B15" t="n">
        <v>14</v>
      </c>
    </row>
    <row r="16">
      <c r="A16" t="n">
        <v>1</v>
      </c>
      <c r="B16" t="n">
        <v>15</v>
      </c>
    </row>
    <row r="17">
      <c r="A17" t="n">
        <v>1</v>
      </c>
      <c r="B17" t="n">
        <v>16</v>
      </c>
    </row>
    <row r="18">
      <c r="A18" t="n">
        <v>1</v>
      </c>
      <c r="B18" t="n">
        <v>17</v>
      </c>
    </row>
    <row r="19">
      <c r="A19" t="n">
        <v>1</v>
      </c>
      <c r="B19" t="n">
        <v>18</v>
      </c>
    </row>
    <row r="20">
      <c r="A20" t="n">
        <v>1</v>
      </c>
      <c r="B20" t="n">
        <v>19</v>
      </c>
    </row>
    <row r="21">
      <c r="A21" t="n">
        <v>1</v>
      </c>
      <c r="B21" t="n">
        <v>20</v>
      </c>
    </row>
    <row r="22">
      <c r="A22" t="n">
        <v>2</v>
      </c>
      <c r="B22" t="n">
        <v>1</v>
      </c>
      <c r="C22" t="n">
        <v>2400</v>
      </c>
      <c r="D22" t="n">
        <v>10.11</v>
      </c>
      <c r="E22" t="n">
        <v>10.16</v>
      </c>
      <c r="F22" t="n">
        <v>4800</v>
      </c>
    </row>
    <row r="23">
      <c r="A23" t="n">
        <v>2</v>
      </c>
      <c r="B23" t="n">
        <v>2</v>
      </c>
      <c r="C23" t="n">
        <v>1200</v>
      </c>
      <c r="D23" t="n">
        <v>10.1</v>
      </c>
      <c r="E23" t="n">
        <v>10.17</v>
      </c>
      <c r="F23" t="n">
        <v>4800</v>
      </c>
    </row>
    <row r="24">
      <c r="A24" t="n">
        <v>2</v>
      </c>
      <c r="B24" t="n">
        <v>3</v>
      </c>
      <c r="C24" t="n">
        <v>4800</v>
      </c>
      <c r="D24" t="n">
        <v>10.09</v>
      </c>
      <c r="E24" t="n">
        <v>10.18</v>
      </c>
      <c r="F24" t="n">
        <v>3600</v>
      </c>
    </row>
    <row r="25">
      <c r="A25" t="n">
        <v>2</v>
      </c>
      <c r="B25" t="n">
        <v>4</v>
      </c>
      <c r="C25" t="n">
        <v>3600</v>
      </c>
      <c r="D25" t="n">
        <v>10.05</v>
      </c>
      <c r="E25" t="n">
        <v>10.22</v>
      </c>
      <c r="F25" t="n">
        <v>2400</v>
      </c>
    </row>
    <row r="26">
      <c r="A26" t="n">
        <v>2</v>
      </c>
      <c r="B26" t="n">
        <v>5</v>
      </c>
      <c r="C26" t="n">
        <v>1200</v>
      </c>
      <c r="D26" t="n">
        <v>10.03</v>
      </c>
      <c r="E26" t="n">
        <v>10.24</v>
      </c>
      <c r="F26" t="n">
        <v>1200</v>
      </c>
    </row>
    <row r="27">
      <c r="A27" t="n">
        <v>2</v>
      </c>
      <c r="B27" t="n">
        <v>6</v>
      </c>
      <c r="C27" t="n">
        <v>2400</v>
      </c>
      <c r="D27" t="n">
        <v>10.01</v>
      </c>
      <c r="E27" t="n">
        <v>10.26</v>
      </c>
      <c r="F27" t="n">
        <v>1200</v>
      </c>
    </row>
    <row r="28">
      <c r="A28" t="n">
        <v>2</v>
      </c>
      <c r="B28" t="n">
        <v>7</v>
      </c>
      <c r="C28" t="n">
        <v>3600</v>
      </c>
      <c r="D28" t="n">
        <v>9.93</v>
      </c>
      <c r="E28" t="n">
        <v>10.34</v>
      </c>
      <c r="F28" t="n">
        <v>4800</v>
      </c>
    </row>
    <row r="29">
      <c r="A29" t="n">
        <v>2</v>
      </c>
      <c r="B29" t="n">
        <v>8</v>
      </c>
      <c r="C29" t="n">
        <v>3600</v>
      </c>
      <c r="D29" t="n">
        <v>9.9</v>
      </c>
      <c r="E29" t="n">
        <v>10.37</v>
      </c>
      <c r="F29" t="n">
        <v>1200</v>
      </c>
    </row>
    <row r="30">
      <c r="A30" t="n">
        <v>2</v>
      </c>
      <c r="B30" t="n">
        <v>9</v>
      </c>
      <c r="C30" t="n">
        <v>1200</v>
      </c>
      <c r="D30" t="n">
        <v>9.869999999999999</v>
      </c>
      <c r="E30" t="n">
        <v>10.4</v>
      </c>
      <c r="F30" t="n">
        <v>2400</v>
      </c>
    </row>
    <row r="31">
      <c r="A31" t="n">
        <v>2</v>
      </c>
      <c r="B31" t="n">
        <v>10</v>
      </c>
      <c r="C31" t="n">
        <v>1200</v>
      </c>
      <c r="D31" t="n">
        <v>9.75</v>
      </c>
      <c r="E31" t="n">
        <v>10.52</v>
      </c>
      <c r="F31" t="n">
        <v>4800</v>
      </c>
    </row>
    <row r="32">
      <c r="A32" t="n">
        <v>2</v>
      </c>
      <c r="B32" t="n">
        <v>11</v>
      </c>
    </row>
    <row r="33">
      <c r="A33" t="n">
        <v>2</v>
      </c>
      <c r="B33" t="n">
        <v>12</v>
      </c>
    </row>
    <row r="34">
      <c r="A34" t="n">
        <v>2</v>
      </c>
      <c r="B34" t="n">
        <v>13</v>
      </c>
    </row>
    <row r="35">
      <c r="A35" t="n">
        <v>2</v>
      </c>
      <c r="B35" t="n">
        <v>14</v>
      </c>
    </row>
    <row r="36">
      <c r="A36" t="n">
        <v>2</v>
      </c>
      <c r="B36" t="n">
        <v>15</v>
      </c>
    </row>
    <row r="37">
      <c r="A37" t="n">
        <v>2</v>
      </c>
      <c r="B37" t="n">
        <v>16</v>
      </c>
    </row>
    <row r="38">
      <c r="A38" t="n">
        <v>2</v>
      </c>
      <c r="B38" t="n">
        <v>17</v>
      </c>
    </row>
    <row r="39">
      <c r="A39" t="n">
        <v>2</v>
      </c>
      <c r="B39" t="n">
        <v>18</v>
      </c>
    </row>
    <row r="40">
      <c r="A40" t="n">
        <v>2</v>
      </c>
      <c r="B40" t="n">
        <v>19</v>
      </c>
    </row>
    <row r="41">
      <c r="A41" t="n">
        <v>2</v>
      </c>
      <c r="B41" t="n">
        <v>20</v>
      </c>
    </row>
    <row r="42">
      <c r="A42" t="n">
        <v>3</v>
      </c>
      <c r="B42" t="n">
        <v>1</v>
      </c>
      <c r="C42" t="n">
        <v>9000</v>
      </c>
      <c r="D42" t="n">
        <v>25.71</v>
      </c>
      <c r="E42" t="n">
        <v>25.76</v>
      </c>
      <c r="F42" t="n">
        <v>3000</v>
      </c>
    </row>
    <row r="43">
      <c r="A43" t="n">
        <v>3</v>
      </c>
      <c r="B43" t="n">
        <v>2</v>
      </c>
      <c r="C43" t="n">
        <v>9000</v>
      </c>
      <c r="D43" t="n">
        <v>25.7</v>
      </c>
      <c r="E43" t="n">
        <v>25.77</v>
      </c>
      <c r="F43" t="n">
        <v>6000</v>
      </c>
    </row>
    <row r="44">
      <c r="A44" t="n">
        <v>3</v>
      </c>
      <c r="B44" t="n">
        <v>3</v>
      </c>
      <c r="C44" t="n">
        <v>6000</v>
      </c>
      <c r="D44" t="n">
        <v>25.69</v>
      </c>
      <c r="E44" t="n">
        <v>25.78</v>
      </c>
      <c r="F44" t="n">
        <v>12000</v>
      </c>
    </row>
    <row r="45">
      <c r="A45" t="n">
        <v>3</v>
      </c>
      <c r="B45" t="n">
        <v>4</v>
      </c>
      <c r="C45" t="n">
        <v>9000</v>
      </c>
      <c r="D45" t="n">
        <v>25.65</v>
      </c>
      <c r="E45" t="n">
        <v>25.82</v>
      </c>
      <c r="F45" t="n">
        <v>3000</v>
      </c>
    </row>
    <row r="46">
      <c r="A46" t="n">
        <v>3</v>
      </c>
      <c r="B46" t="n">
        <v>5</v>
      </c>
      <c r="C46" t="n">
        <v>3000</v>
      </c>
      <c r="D46" t="n">
        <v>25.63</v>
      </c>
      <c r="E46" t="n">
        <v>25.84</v>
      </c>
      <c r="F46" t="n">
        <v>12000</v>
      </c>
    </row>
    <row r="47">
      <c r="A47" t="n">
        <v>3</v>
      </c>
      <c r="B47" t="n">
        <v>6</v>
      </c>
      <c r="C47" t="n">
        <v>12000</v>
      </c>
      <c r="D47" t="n">
        <v>25.61</v>
      </c>
      <c r="E47" t="n">
        <v>25.86</v>
      </c>
      <c r="F47" t="n">
        <v>6000</v>
      </c>
    </row>
    <row r="48">
      <c r="A48" t="n">
        <v>3</v>
      </c>
      <c r="B48" t="n">
        <v>7</v>
      </c>
      <c r="C48" t="n">
        <v>12000</v>
      </c>
      <c r="D48" t="n">
        <v>25.53</v>
      </c>
      <c r="E48" t="n">
        <v>25.94</v>
      </c>
      <c r="F48" t="n">
        <v>12000</v>
      </c>
    </row>
    <row r="49">
      <c r="A49" t="n">
        <v>3</v>
      </c>
      <c r="B49" t="n">
        <v>8</v>
      </c>
      <c r="C49" t="n">
        <v>9000</v>
      </c>
      <c r="D49" t="n">
        <v>25.5</v>
      </c>
      <c r="E49" t="n">
        <v>25.97</v>
      </c>
      <c r="F49" t="n">
        <v>12000</v>
      </c>
    </row>
    <row r="50">
      <c r="A50" t="n">
        <v>3</v>
      </c>
      <c r="B50" t="n">
        <v>9</v>
      </c>
      <c r="C50" t="n">
        <v>12000</v>
      </c>
      <c r="D50" t="n">
        <v>25.47</v>
      </c>
      <c r="E50" t="n">
        <v>26</v>
      </c>
      <c r="F50" t="n">
        <v>12000</v>
      </c>
    </row>
    <row r="51">
      <c r="A51" t="n">
        <v>3</v>
      </c>
      <c r="B51" t="n">
        <v>10</v>
      </c>
      <c r="C51" t="n">
        <v>9000</v>
      </c>
      <c r="D51" t="n">
        <v>25.35</v>
      </c>
      <c r="E51" t="n">
        <v>26.12</v>
      </c>
      <c r="F51" t="n">
        <v>9000</v>
      </c>
    </row>
    <row r="52">
      <c r="A52" t="n">
        <v>3</v>
      </c>
      <c r="B52" t="n">
        <v>11</v>
      </c>
    </row>
    <row r="53">
      <c r="A53" t="n">
        <v>3</v>
      </c>
      <c r="B53" t="n">
        <v>12</v>
      </c>
    </row>
    <row r="54">
      <c r="A54" t="n">
        <v>3</v>
      </c>
      <c r="B54" t="n">
        <v>13</v>
      </c>
    </row>
    <row r="55">
      <c r="A55" t="n">
        <v>3</v>
      </c>
      <c r="B55" t="n">
        <v>14</v>
      </c>
    </row>
    <row r="56">
      <c r="A56" t="n">
        <v>3</v>
      </c>
      <c r="B56" t="n">
        <v>15</v>
      </c>
    </row>
    <row r="57">
      <c r="A57" t="n">
        <v>3</v>
      </c>
      <c r="B57" t="n">
        <v>16</v>
      </c>
    </row>
    <row r="58">
      <c r="A58" t="n">
        <v>3</v>
      </c>
      <c r="B58" t="n">
        <v>17</v>
      </c>
    </row>
    <row r="59">
      <c r="A59" t="n">
        <v>3</v>
      </c>
      <c r="B59" t="n">
        <v>18</v>
      </c>
    </row>
    <row r="60">
      <c r="A60" t="n">
        <v>3</v>
      </c>
      <c r="B60" t="n">
        <v>19</v>
      </c>
    </row>
    <row r="61">
      <c r="A61" t="n">
        <v>3</v>
      </c>
      <c r="B61" t="n">
        <v>20</v>
      </c>
    </row>
    <row r="62">
      <c r="A62" t="n">
        <v>4</v>
      </c>
      <c r="B62" t="n">
        <v>1</v>
      </c>
      <c r="C62" t="n">
        <v>1200</v>
      </c>
      <c r="D62" t="n">
        <v>10.3</v>
      </c>
      <c r="E62" t="n">
        <v>10.35</v>
      </c>
      <c r="F62" t="n">
        <v>4800</v>
      </c>
    </row>
    <row r="63">
      <c r="A63" t="n">
        <v>4</v>
      </c>
      <c r="B63" t="n">
        <v>2</v>
      </c>
      <c r="C63" t="n">
        <v>2400</v>
      </c>
      <c r="D63" t="n">
        <v>10.29</v>
      </c>
      <c r="E63" t="n">
        <v>10.36</v>
      </c>
      <c r="F63" t="n">
        <v>1200</v>
      </c>
    </row>
    <row r="64">
      <c r="A64" t="n">
        <v>4</v>
      </c>
      <c r="B64" t="n">
        <v>3</v>
      </c>
      <c r="C64" t="n">
        <v>1200</v>
      </c>
      <c r="D64" t="n">
        <v>10.28</v>
      </c>
      <c r="E64" t="n">
        <v>10.37</v>
      </c>
      <c r="F64" t="n">
        <v>2400</v>
      </c>
    </row>
    <row r="65">
      <c r="A65" t="n">
        <v>4</v>
      </c>
      <c r="B65" t="n">
        <v>4</v>
      </c>
      <c r="C65" t="n">
        <v>3600</v>
      </c>
      <c r="D65" t="n">
        <v>10.24</v>
      </c>
      <c r="E65" t="n">
        <v>10.41</v>
      </c>
      <c r="F65" t="n">
        <v>4800</v>
      </c>
    </row>
    <row r="66">
      <c r="A66" t="n">
        <v>4</v>
      </c>
      <c r="B66" t="n">
        <v>5</v>
      </c>
      <c r="C66" t="n">
        <v>4800</v>
      </c>
      <c r="D66" t="n">
        <v>10.22</v>
      </c>
      <c r="E66" t="n">
        <v>10.43</v>
      </c>
      <c r="F66" t="n">
        <v>2400</v>
      </c>
    </row>
    <row r="67">
      <c r="A67" t="n">
        <v>4</v>
      </c>
      <c r="B67" t="n">
        <v>6</v>
      </c>
      <c r="C67" t="n">
        <v>3600</v>
      </c>
      <c r="D67" t="n">
        <v>10.2</v>
      </c>
      <c r="E67" t="n">
        <v>10.45</v>
      </c>
      <c r="F67" t="n">
        <v>4800</v>
      </c>
    </row>
    <row r="68">
      <c r="A68" t="n">
        <v>4</v>
      </c>
      <c r="B68" t="n">
        <v>7</v>
      </c>
      <c r="C68" t="n">
        <v>1200</v>
      </c>
      <c r="D68" t="n">
        <v>10.12</v>
      </c>
      <c r="E68" t="n">
        <v>10.53</v>
      </c>
      <c r="F68" t="n">
        <v>4800</v>
      </c>
    </row>
    <row r="69">
      <c r="A69" t="n">
        <v>4</v>
      </c>
      <c r="B69" t="n">
        <v>8</v>
      </c>
      <c r="C69" t="n">
        <v>3600</v>
      </c>
      <c r="D69" t="n">
        <v>10.09</v>
      </c>
      <c r="E69" t="n">
        <v>10.56</v>
      </c>
      <c r="F69" t="n">
        <v>3600</v>
      </c>
    </row>
    <row r="70">
      <c r="A70" t="n">
        <v>4</v>
      </c>
      <c r="B70" t="n">
        <v>9</v>
      </c>
      <c r="C70" t="n">
        <v>1200</v>
      </c>
      <c r="D70" t="n">
        <v>10.06</v>
      </c>
      <c r="E70" t="n">
        <v>10.59</v>
      </c>
      <c r="F70" t="n">
        <v>4800</v>
      </c>
    </row>
    <row r="71">
      <c r="A71" t="n">
        <v>4</v>
      </c>
      <c r="B71" t="n">
        <v>10</v>
      </c>
      <c r="C71" t="n">
        <v>3600</v>
      </c>
      <c r="D71" t="n">
        <v>9.94</v>
      </c>
      <c r="E71" t="n">
        <v>10.71</v>
      </c>
      <c r="F71" t="n">
        <v>4800</v>
      </c>
    </row>
    <row r="72">
      <c r="A72" t="n">
        <v>4</v>
      </c>
      <c r="B72" t="n">
        <v>11</v>
      </c>
    </row>
    <row r="73">
      <c r="A73" t="n">
        <v>4</v>
      </c>
      <c r="B73" t="n">
        <v>12</v>
      </c>
    </row>
    <row r="74">
      <c r="A74" t="n">
        <v>4</v>
      </c>
      <c r="B74" t="n">
        <v>13</v>
      </c>
    </row>
    <row r="75">
      <c r="A75" t="n">
        <v>4</v>
      </c>
      <c r="B75" t="n">
        <v>14</v>
      </c>
    </row>
    <row r="76">
      <c r="A76" t="n">
        <v>4</v>
      </c>
      <c r="B76" t="n">
        <v>15</v>
      </c>
    </row>
    <row r="77">
      <c r="A77" t="n">
        <v>4</v>
      </c>
      <c r="B77" t="n">
        <v>16</v>
      </c>
    </row>
    <row r="78">
      <c r="A78" t="n">
        <v>4</v>
      </c>
      <c r="B78" t="n">
        <v>17</v>
      </c>
    </row>
    <row r="79">
      <c r="A79" t="n">
        <v>4</v>
      </c>
      <c r="B79" t="n">
        <v>18</v>
      </c>
    </row>
    <row r="80">
      <c r="A80" t="n">
        <v>4</v>
      </c>
      <c r="B80" t="n">
        <v>19</v>
      </c>
    </row>
    <row r="81">
      <c r="A81" t="n">
        <v>4</v>
      </c>
      <c r="B81" t="n">
        <v>20</v>
      </c>
    </row>
    <row r="82">
      <c r="A82" t="n">
        <v>5</v>
      </c>
      <c r="B82" t="n">
        <v>1</v>
      </c>
      <c r="C82" t="n">
        <v>4800</v>
      </c>
      <c r="D82" t="n">
        <v>10.21</v>
      </c>
      <c r="E82" t="n">
        <v>10.26</v>
      </c>
      <c r="F82" t="n">
        <v>1200</v>
      </c>
    </row>
    <row r="83">
      <c r="A83" t="n">
        <v>5</v>
      </c>
      <c r="B83" t="n">
        <v>2</v>
      </c>
      <c r="C83" t="n">
        <v>3600</v>
      </c>
      <c r="D83" t="n">
        <v>10.2</v>
      </c>
      <c r="E83" t="n">
        <v>10.27</v>
      </c>
      <c r="F83" t="n">
        <v>4800</v>
      </c>
    </row>
    <row r="84">
      <c r="A84" t="n">
        <v>5</v>
      </c>
      <c r="B84" t="n">
        <v>3</v>
      </c>
      <c r="C84" t="n">
        <v>4800</v>
      </c>
      <c r="D84" t="n">
        <v>10.19</v>
      </c>
      <c r="E84" t="n">
        <v>10.28</v>
      </c>
      <c r="F84" t="n">
        <v>4800</v>
      </c>
    </row>
    <row r="85">
      <c r="A85" t="n">
        <v>5</v>
      </c>
      <c r="B85" t="n">
        <v>4</v>
      </c>
      <c r="C85" t="n">
        <v>4800</v>
      </c>
      <c r="D85" t="n">
        <v>10.15</v>
      </c>
      <c r="E85" t="n">
        <v>10.32</v>
      </c>
      <c r="F85" t="n">
        <v>4800</v>
      </c>
    </row>
    <row r="86">
      <c r="A86" t="n">
        <v>5</v>
      </c>
      <c r="B86" t="n">
        <v>5</v>
      </c>
      <c r="C86" t="n">
        <v>3600</v>
      </c>
      <c r="D86" t="n">
        <v>10.13</v>
      </c>
      <c r="E86" t="n">
        <v>10.34</v>
      </c>
      <c r="F86" t="n">
        <v>4800</v>
      </c>
    </row>
    <row r="87">
      <c r="A87" t="n">
        <v>5</v>
      </c>
      <c r="B87" t="n">
        <v>6</v>
      </c>
      <c r="C87" t="n">
        <v>3600</v>
      </c>
      <c r="D87" t="n">
        <v>10.11</v>
      </c>
      <c r="E87" t="n">
        <v>10.36</v>
      </c>
      <c r="F87" t="n">
        <v>4800</v>
      </c>
    </row>
    <row r="88">
      <c r="A88" t="n">
        <v>5</v>
      </c>
      <c r="B88" t="n">
        <v>7</v>
      </c>
      <c r="C88" t="n">
        <v>3600</v>
      </c>
      <c r="D88" t="n">
        <v>10.03</v>
      </c>
      <c r="E88" t="n">
        <v>10.44</v>
      </c>
      <c r="F88" t="n">
        <v>1200</v>
      </c>
    </row>
    <row r="89">
      <c r="A89" t="n">
        <v>5</v>
      </c>
      <c r="B89" t="n">
        <v>8</v>
      </c>
      <c r="C89" t="n">
        <v>1200</v>
      </c>
      <c r="D89" t="n">
        <v>10</v>
      </c>
      <c r="E89" t="n">
        <v>10.47</v>
      </c>
      <c r="F89" t="n">
        <v>1200</v>
      </c>
    </row>
    <row r="90">
      <c r="A90" t="n">
        <v>5</v>
      </c>
      <c r="B90" t="n">
        <v>9</v>
      </c>
      <c r="C90" t="n">
        <v>3600</v>
      </c>
      <c r="D90" t="n">
        <v>9.970000000000001</v>
      </c>
      <c r="E90" t="n">
        <v>10.5</v>
      </c>
      <c r="F90" t="n">
        <v>1200</v>
      </c>
    </row>
    <row r="91">
      <c r="A91" t="n">
        <v>5</v>
      </c>
      <c r="B91" t="n">
        <v>10</v>
      </c>
      <c r="C91" t="n">
        <v>1200</v>
      </c>
      <c r="D91" t="n">
        <v>9.85</v>
      </c>
      <c r="E91" t="n">
        <v>10.62</v>
      </c>
      <c r="F91" t="n">
        <v>3600</v>
      </c>
    </row>
    <row r="92">
      <c r="A92" t="n">
        <v>5</v>
      </c>
      <c r="B92" t="n">
        <v>11</v>
      </c>
    </row>
    <row r="93">
      <c r="A93" t="n">
        <v>5</v>
      </c>
      <c r="B93" t="n">
        <v>12</v>
      </c>
    </row>
    <row r="94">
      <c r="A94" t="n">
        <v>5</v>
      </c>
      <c r="B94" t="n">
        <v>13</v>
      </c>
    </row>
    <row r="95">
      <c r="A95" t="n">
        <v>5</v>
      </c>
      <c r="B95" t="n">
        <v>14</v>
      </c>
    </row>
    <row r="96">
      <c r="A96" t="n">
        <v>5</v>
      </c>
      <c r="B96" t="n">
        <v>15</v>
      </c>
    </row>
    <row r="97">
      <c r="A97" t="n">
        <v>5</v>
      </c>
      <c r="B97" t="n">
        <v>16</v>
      </c>
    </row>
    <row r="98">
      <c r="A98" t="n">
        <v>5</v>
      </c>
      <c r="B98" t="n">
        <v>17</v>
      </c>
    </row>
    <row r="99">
      <c r="A99" t="n">
        <v>5</v>
      </c>
      <c r="B99" t="n">
        <v>18</v>
      </c>
    </row>
    <row r="100">
      <c r="A100" t="n">
        <v>5</v>
      </c>
      <c r="B100" t="n">
        <v>19</v>
      </c>
    </row>
    <row r="101">
      <c r="A101" t="n">
        <v>5</v>
      </c>
      <c r="B101" t="n">
        <v>20</v>
      </c>
    </row>
    <row r="102">
      <c r="A102" t="n">
        <v>6</v>
      </c>
      <c r="B102" t="n">
        <v>1</v>
      </c>
      <c r="C102" t="n">
        <v>1200</v>
      </c>
      <c r="D102" t="n">
        <v>10.15</v>
      </c>
      <c r="E102" t="n">
        <v>10.2</v>
      </c>
      <c r="F102" t="n">
        <v>1200</v>
      </c>
    </row>
    <row r="103">
      <c r="A103" t="n">
        <v>6</v>
      </c>
      <c r="B103" t="n">
        <v>2</v>
      </c>
      <c r="C103" t="n">
        <v>3600</v>
      </c>
      <c r="D103" t="n">
        <v>10.14</v>
      </c>
      <c r="E103" t="n">
        <v>10.21</v>
      </c>
      <c r="F103" t="n">
        <v>1200</v>
      </c>
    </row>
    <row r="104">
      <c r="A104" t="n">
        <v>6</v>
      </c>
      <c r="B104" t="n">
        <v>3</v>
      </c>
      <c r="C104" t="n">
        <v>3600</v>
      </c>
      <c r="D104" t="n">
        <v>10.13</v>
      </c>
      <c r="E104" t="n">
        <v>10.22</v>
      </c>
      <c r="F104" t="n">
        <v>3600</v>
      </c>
    </row>
    <row r="105">
      <c r="A105" t="n">
        <v>6</v>
      </c>
      <c r="B105" t="n">
        <v>4</v>
      </c>
      <c r="C105" t="n">
        <v>4800</v>
      </c>
      <c r="D105" t="n">
        <v>10.09</v>
      </c>
      <c r="E105" t="n">
        <v>10.26</v>
      </c>
      <c r="F105" t="n">
        <v>3600</v>
      </c>
    </row>
    <row r="106">
      <c r="A106" t="n">
        <v>6</v>
      </c>
      <c r="B106" t="n">
        <v>5</v>
      </c>
      <c r="C106" t="n">
        <v>2400</v>
      </c>
      <c r="D106" t="n">
        <v>10.07</v>
      </c>
      <c r="E106" t="n">
        <v>10.28</v>
      </c>
      <c r="F106" t="n">
        <v>4800</v>
      </c>
    </row>
    <row r="107">
      <c r="A107" t="n">
        <v>6</v>
      </c>
      <c r="B107" t="n">
        <v>6</v>
      </c>
      <c r="C107" t="n">
        <v>1200</v>
      </c>
      <c r="D107" t="n">
        <v>10.05</v>
      </c>
      <c r="E107" t="n">
        <v>10.3</v>
      </c>
      <c r="F107" t="n">
        <v>4800</v>
      </c>
    </row>
    <row r="108">
      <c r="A108" t="n">
        <v>6</v>
      </c>
      <c r="B108" t="n">
        <v>7</v>
      </c>
      <c r="C108" t="n">
        <v>1200</v>
      </c>
      <c r="D108" t="n">
        <v>9.970000000000001</v>
      </c>
      <c r="E108" t="n">
        <v>10.38</v>
      </c>
      <c r="F108" t="n">
        <v>2400</v>
      </c>
    </row>
    <row r="109">
      <c r="A109" t="n">
        <v>6</v>
      </c>
      <c r="B109" t="n">
        <v>8</v>
      </c>
      <c r="C109" t="n">
        <v>4800</v>
      </c>
      <c r="D109" t="n">
        <v>9.94</v>
      </c>
      <c r="E109" t="n">
        <v>10.41</v>
      </c>
      <c r="F109" t="n">
        <v>1200</v>
      </c>
    </row>
    <row r="110">
      <c r="A110" t="n">
        <v>6</v>
      </c>
      <c r="B110" t="n">
        <v>9</v>
      </c>
      <c r="C110" t="n">
        <v>4800</v>
      </c>
      <c r="D110" t="n">
        <v>9.91</v>
      </c>
      <c r="E110" t="n">
        <v>10.44</v>
      </c>
      <c r="F110" t="n">
        <v>4800</v>
      </c>
    </row>
    <row r="111">
      <c r="A111" t="n">
        <v>6</v>
      </c>
      <c r="B111" t="n">
        <v>10</v>
      </c>
      <c r="C111" t="n">
        <v>1200</v>
      </c>
      <c r="D111" t="n">
        <v>9.789999999999999</v>
      </c>
      <c r="E111" t="n">
        <v>10.56</v>
      </c>
      <c r="F111" t="n">
        <v>1200</v>
      </c>
    </row>
    <row r="112">
      <c r="A112" t="n">
        <v>6</v>
      </c>
      <c r="B112" t="n">
        <v>11</v>
      </c>
    </row>
    <row r="113">
      <c r="A113" t="n">
        <v>6</v>
      </c>
      <c r="B113" t="n">
        <v>12</v>
      </c>
    </row>
    <row r="114">
      <c r="A114" t="n">
        <v>6</v>
      </c>
      <c r="B114" t="n">
        <v>13</v>
      </c>
    </row>
    <row r="115">
      <c r="A115" t="n">
        <v>6</v>
      </c>
      <c r="B115" t="n">
        <v>14</v>
      </c>
    </row>
    <row r="116">
      <c r="A116" t="n">
        <v>6</v>
      </c>
      <c r="B116" t="n">
        <v>15</v>
      </c>
    </row>
    <row r="117">
      <c r="A117" t="n">
        <v>6</v>
      </c>
      <c r="B117" t="n">
        <v>16</v>
      </c>
    </row>
    <row r="118">
      <c r="A118" t="n">
        <v>6</v>
      </c>
      <c r="B118" t="n">
        <v>17</v>
      </c>
    </row>
    <row r="119">
      <c r="A119" t="n">
        <v>6</v>
      </c>
      <c r="B119" t="n">
        <v>18</v>
      </c>
    </row>
    <row r="120">
      <c r="A120" t="n">
        <v>6</v>
      </c>
      <c r="B120" t="n">
        <v>19</v>
      </c>
    </row>
    <row r="121">
      <c r="A121" t="n">
        <v>6</v>
      </c>
      <c r="B121" t="n">
        <v>20</v>
      </c>
    </row>
    <row r="122">
      <c r="A122" t="n">
        <v>7</v>
      </c>
      <c r="B122" t="n">
        <v>1</v>
      </c>
      <c r="C122" t="n">
        <v>6000</v>
      </c>
      <c r="D122" t="n">
        <v>19.8</v>
      </c>
      <c r="E122" t="n">
        <v>19.85</v>
      </c>
      <c r="F122" t="n">
        <v>8000</v>
      </c>
    </row>
    <row r="123">
      <c r="A123" t="n">
        <v>7</v>
      </c>
      <c r="B123" t="n">
        <v>2</v>
      </c>
      <c r="C123" t="n">
        <v>6000</v>
      </c>
      <c r="D123" t="n">
        <v>19.79</v>
      </c>
      <c r="E123" t="n">
        <v>19.86</v>
      </c>
      <c r="F123" t="n">
        <v>4000</v>
      </c>
    </row>
    <row r="124">
      <c r="A124" t="n">
        <v>7</v>
      </c>
      <c r="B124" t="n">
        <v>3</v>
      </c>
      <c r="C124" t="n">
        <v>4000</v>
      </c>
      <c r="D124" t="n">
        <v>19.78</v>
      </c>
      <c r="E124" t="n">
        <v>19.87</v>
      </c>
      <c r="F124" t="n">
        <v>4000</v>
      </c>
    </row>
    <row r="125">
      <c r="A125" t="n">
        <v>7</v>
      </c>
      <c r="B125" t="n">
        <v>4</v>
      </c>
      <c r="C125" t="n">
        <v>8000</v>
      </c>
      <c r="D125" t="n">
        <v>19.74</v>
      </c>
      <c r="E125" t="n">
        <v>19.91</v>
      </c>
      <c r="F125" t="n">
        <v>2000</v>
      </c>
    </row>
    <row r="126">
      <c r="A126" t="n">
        <v>7</v>
      </c>
      <c r="B126" t="n">
        <v>5</v>
      </c>
      <c r="C126" t="n">
        <v>2000</v>
      </c>
      <c r="D126" t="n">
        <v>19.72</v>
      </c>
      <c r="E126" t="n">
        <v>19.93</v>
      </c>
      <c r="F126" t="n">
        <v>4000</v>
      </c>
    </row>
    <row r="127">
      <c r="A127" t="n">
        <v>7</v>
      </c>
      <c r="B127" t="n">
        <v>6</v>
      </c>
      <c r="C127" t="n">
        <v>2000</v>
      </c>
      <c r="D127" t="n">
        <v>19.7</v>
      </c>
      <c r="E127" t="n">
        <v>19.95</v>
      </c>
      <c r="F127" t="n">
        <v>8000</v>
      </c>
    </row>
    <row r="128">
      <c r="A128" t="n">
        <v>7</v>
      </c>
      <c r="B128" t="n">
        <v>7</v>
      </c>
      <c r="C128" t="n">
        <v>8000</v>
      </c>
      <c r="D128" t="n">
        <v>19.62</v>
      </c>
      <c r="E128" t="n">
        <v>20.03</v>
      </c>
      <c r="F128" t="n">
        <v>4000</v>
      </c>
    </row>
    <row r="129">
      <c r="A129" t="n">
        <v>7</v>
      </c>
      <c r="B129" t="n">
        <v>8</v>
      </c>
      <c r="C129" t="n">
        <v>8000</v>
      </c>
      <c r="D129" t="n">
        <v>19.59</v>
      </c>
      <c r="E129" t="n">
        <v>20.06</v>
      </c>
      <c r="F129" t="n">
        <v>8000</v>
      </c>
    </row>
    <row r="130">
      <c r="A130" t="n">
        <v>7</v>
      </c>
      <c r="B130" t="n">
        <v>9</v>
      </c>
      <c r="C130" t="n">
        <v>4000</v>
      </c>
      <c r="D130" t="n">
        <v>19.56</v>
      </c>
      <c r="E130" t="n">
        <v>20.09</v>
      </c>
      <c r="F130" t="n">
        <v>6000</v>
      </c>
    </row>
    <row r="131">
      <c r="A131" t="n">
        <v>7</v>
      </c>
      <c r="B131" t="n">
        <v>10</v>
      </c>
      <c r="C131" t="n">
        <v>8000</v>
      </c>
      <c r="D131" t="n">
        <v>19.44</v>
      </c>
      <c r="E131" t="n">
        <v>20.21</v>
      </c>
      <c r="F131" t="n">
        <v>2000</v>
      </c>
    </row>
    <row r="132">
      <c r="A132" t="n">
        <v>7</v>
      </c>
      <c r="B132" t="n">
        <v>11</v>
      </c>
    </row>
    <row r="133">
      <c r="A133" t="n">
        <v>7</v>
      </c>
      <c r="B133" t="n">
        <v>12</v>
      </c>
    </row>
    <row r="134">
      <c r="A134" t="n">
        <v>7</v>
      </c>
      <c r="B134" t="n">
        <v>13</v>
      </c>
    </row>
    <row r="135">
      <c r="A135" t="n">
        <v>7</v>
      </c>
      <c r="B135" t="n">
        <v>14</v>
      </c>
    </row>
    <row r="136">
      <c r="A136" t="n">
        <v>7</v>
      </c>
      <c r="B136" t="n">
        <v>15</v>
      </c>
    </row>
    <row r="137">
      <c r="A137" t="n">
        <v>7</v>
      </c>
      <c r="B137" t="n">
        <v>16</v>
      </c>
    </row>
    <row r="138">
      <c r="A138" t="n">
        <v>7</v>
      </c>
      <c r="B138" t="n">
        <v>17</v>
      </c>
    </row>
    <row r="139">
      <c r="A139" t="n">
        <v>7</v>
      </c>
      <c r="B139" t="n">
        <v>18</v>
      </c>
    </row>
    <row r="140">
      <c r="A140" t="n">
        <v>7</v>
      </c>
      <c r="B140" t="n">
        <v>19</v>
      </c>
    </row>
    <row r="141">
      <c r="A141" t="n">
        <v>7</v>
      </c>
      <c r="B141" t="n">
        <v>20</v>
      </c>
    </row>
    <row r="142">
      <c r="A142" t="n">
        <v>8</v>
      </c>
      <c r="B142" t="n">
        <v>1</v>
      </c>
      <c r="C142" t="n">
        <v>4800</v>
      </c>
      <c r="D142" t="n">
        <v>10.13</v>
      </c>
      <c r="E142" t="n">
        <v>10.18</v>
      </c>
      <c r="F142" t="n">
        <v>4800</v>
      </c>
    </row>
    <row r="143">
      <c r="A143" t="n">
        <v>8</v>
      </c>
      <c r="B143" t="n">
        <v>2</v>
      </c>
      <c r="C143" t="n">
        <v>1200</v>
      </c>
      <c r="D143" t="n">
        <v>10.12</v>
      </c>
      <c r="E143" t="n">
        <v>10.19</v>
      </c>
      <c r="F143" t="n">
        <v>2400</v>
      </c>
    </row>
    <row r="144">
      <c r="A144" t="n">
        <v>8</v>
      </c>
      <c r="B144" t="n">
        <v>3</v>
      </c>
      <c r="C144" t="n">
        <v>3600</v>
      </c>
      <c r="D144" t="n">
        <v>10.11</v>
      </c>
      <c r="E144" t="n">
        <v>10.2</v>
      </c>
      <c r="F144" t="n">
        <v>2400</v>
      </c>
    </row>
    <row r="145">
      <c r="A145" t="n">
        <v>8</v>
      </c>
      <c r="B145" t="n">
        <v>4</v>
      </c>
      <c r="C145" t="n">
        <v>1200</v>
      </c>
      <c r="D145" t="n">
        <v>10.07</v>
      </c>
      <c r="E145" t="n">
        <v>10.24</v>
      </c>
      <c r="F145" t="n">
        <v>3600</v>
      </c>
    </row>
    <row r="146">
      <c r="A146" t="n">
        <v>8</v>
      </c>
      <c r="B146" t="n">
        <v>5</v>
      </c>
      <c r="C146" t="n">
        <v>3600</v>
      </c>
      <c r="D146" t="n">
        <v>10.05</v>
      </c>
      <c r="E146" t="n">
        <v>10.26</v>
      </c>
      <c r="F146" t="n">
        <v>3600</v>
      </c>
    </row>
    <row r="147">
      <c r="A147" t="n">
        <v>8</v>
      </c>
      <c r="B147" t="n">
        <v>6</v>
      </c>
      <c r="C147" t="n">
        <v>2400</v>
      </c>
      <c r="D147" t="n">
        <v>10.03</v>
      </c>
      <c r="E147" t="n">
        <v>10.28</v>
      </c>
      <c r="F147" t="n">
        <v>4800</v>
      </c>
    </row>
    <row r="148">
      <c r="A148" t="n">
        <v>8</v>
      </c>
      <c r="B148" t="n">
        <v>7</v>
      </c>
      <c r="C148" t="n">
        <v>3600</v>
      </c>
      <c r="D148" t="n">
        <v>9.949999999999999</v>
      </c>
      <c r="E148" t="n">
        <v>10.36</v>
      </c>
      <c r="F148" t="n">
        <v>3600</v>
      </c>
    </row>
    <row r="149">
      <c r="A149" t="n">
        <v>8</v>
      </c>
      <c r="B149" t="n">
        <v>8</v>
      </c>
      <c r="C149" t="n">
        <v>4800</v>
      </c>
      <c r="D149" t="n">
        <v>9.92</v>
      </c>
      <c r="E149" t="n">
        <v>10.39</v>
      </c>
      <c r="F149" t="n">
        <v>1200</v>
      </c>
    </row>
    <row r="150">
      <c r="A150" t="n">
        <v>8</v>
      </c>
      <c r="B150" t="n">
        <v>9</v>
      </c>
      <c r="C150" t="n">
        <v>3600</v>
      </c>
      <c r="D150" t="n">
        <v>9.890000000000001</v>
      </c>
      <c r="E150" t="n">
        <v>10.42</v>
      </c>
      <c r="F150" t="n">
        <v>4800</v>
      </c>
    </row>
    <row r="151">
      <c r="A151" t="n">
        <v>8</v>
      </c>
      <c r="B151" t="n">
        <v>10</v>
      </c>
      <c r="C151" t="n">
        <v>4800</v>
      </c>
      <c r="D151" t="n">
        <v>9.77</v>
      </c>
      <c r="E151" t="n">
        <v>10.54</v>
      </c>
      <c r="F151" t="n">
        <v>4800</v>
      </c>
    </row>
    <row r="152">
      <c r="A152" t="n">
        <v>8</v>
      </c>
      <c r="B152" t="n">
        <v>11</v>
      </c>
    </row>
    <row r="153">
      <c r="A153" t="n">
        <v>8</v>
      </c>
      <c r="B153" t="n">
        <v>12</v>
      </c>
    </row>
    <row r="154">
      <c r="A154" t="n">
        <v>8</v>
      </c>
      <c r="B154" t="n">
        <v>13</v>
      </c>
    </row>
    <row r="155">
      <c r="A155" t="n">
        <v>8</v>
      </c>
      <c r="B155" t="n">
        <v>14</v>
      </c>
    </row>
    <row r="156">
      <c r="A156" t="n">
        <v>8</v>
      </c>
      <c r="B156" t="n">
        <v>15</v>
      </c>
    </row>
    <row r="157">
      <c r="A157" t="n">
        <v>8</v>
      </c>
      <c r="B157" t="n">
        <v>16</v>
      </c>
    </row>
    <row r="158">
      <c r="A158" t="n">
        <v>8</v>
      </c>
      <c r="B158" t="n">
        <v>17</v>
      </c>
    </row>
    <row r="159">
      <c r="A159" t="n">
        <v>8</v>
      </c>
      <c r="B159" t="n">
        <v>18</v>
      </c>
    </row>
    <row r="160">
      <c r="A160" t="n">
        <v>8</v>
      </c>
      <c r="B160" t="n">
        <v>19</v>
      </c>
    </row>
    <row r="161">
      <c r="A161" t="n">
        <v>8</v>
      </c>
      <c r="B161" t="n">
        <v>20</v>
      </c>
    </row>
    <row r="162">
      <c r="A162" t="n">
        <v>9</v>
      </c>
      <c r="B162" t="n">
        <v>1</v>
      </c>
      <c r="C162" t="n">
        <v>9000</v>
      </c>
      <c r="D162" t="n">
        <v>25.57</v>
      </c>
      <c r="E162" t="n">
        <v>25.62</v>
      </c>
      <c r="F162" t="n">
        <v>12000</v>
      </c>
    </row>
    <row r="163">
      <c r="A163" t="n">
        <v>9</v>
      </c>
      <c r="B163" t="n">
        <v>2</v>
      </c>
      <c r="C163" t="n">
        <v>6000</v>
      </c>
      <c r="D163" t="n">
        <v>25.56</v>
      </c>
      <c r="E163" t="n">
        <v>25.63</v>
      </c>
      <c r="F163" t="n">
        <v>6000</v>
      </c>
    </row>
    <row r="164">
      <c r="A164" t="n">
        <v>9</v>
      </c>
      <c r="B164" t="n">
        <v>3</v>
      </c>
      <c r="C164" t="n">
        <v>3000</v>
      </c>
      <c r="D164" t="n">
        <v>25.55</v>
      </c>
      <c r="E164" t="n">
        <v>25.64</v>
      </c>
      <c r="F164" t="n">
        <v>9000</v>
      </c>
    </row>
    <row r="165">
      <c r="A165" t="n">
        <v>9</v>
      </c>
      <c r="B165" t="n">
        <v>4</v>
      </c>
      <c r="C165" t="n">
        <v>9000</v>
      </c>
      <c r="D165" t="n">
        <v>25.51</v>
      </c>
      <c r="E165" t="n">
        <v>25.68</v>
      </c>
      <c r="F165" t="n">
        <v>6000</v>
      </c>
    </row>
    <row r="166">
      <c r="A166" t="n">
        <v>9</v>
      </c>
      <c r="B166" t="n">
        <v>5</v>
      </c>
      <c r="C166" t="n">
        <v>12000</v>
      </c>
      <c r="D166" t="n">
        <v>25.49</v>
      </c>
      <c r="E166" t="n">
        <v>25.7</v>
      </c>
      <c r="F166" t="n">
        <v>12000</v>
      </c>
    </row>
    <row r="167">
      <c r="A167" t="n">
        <v>9</v>
      </c>
      <c r="B167" t="n">
        <v>6</v>
      </c>
      <c r="C167" t="n">
        <v>3000</v>
      </c>
      <c r="D167" t="n">
        <v>25.47</v>
      </c>
      <c r="E167" t="n">
        <v>25.72</v>
      </c>
      <c r="F167" t="n">
        <v>9000</v>
      </c>
    </row>
    <row r="168">
      <c r="A168" t="n">
        <v>9</v>
      </c>
      <c r="B168" t="n">
        <v>7</v>
      </c>
      <c r="C168" t="n">
        <v>12000</v>
      </c>
      <c r="D168" t="n">
        <v>25.39</v>
      </c>
      <c r="E168" t="n">
        <v>25.8</v>
      </c>
      <c r="F168" t="n">
        <v>3000</v>
      </c>
    </row>
    <row r="169">
      <c r="A169" t="n">
        <v>9</v>
      </c>
      <c r="B169" t="n">
        <v>8</v>
      </c>
      <c r="C169" t="n">
        <v>3000</v>
      </c>
      <c r="D169" t="n">
        <v>25.36</v>
      </c>
      <c r="E169" t="n">
        <v>25.83</v>
      </c>
      <c r="F169" t="n">
        <v>6000</v>
      </c>
    </row>
    <row r="170">
      <c r="A170" t="n">
        <v>9</v>
      </c>
      <c r="B170" t="n">
        <v>9</v>
      </c>
      <c r="C170" t="n">
        <v>6000</v>
      </c>
      <c r="D170" t="n">
        <v>25.33</v>
      </c>
      <c r="E170" t="n">
        <v>25.86</v>
      </c>
      <c r="F170" t="n">
        <v>12000</v>
      </c>
    </row>
    <row r="171">
      <c r="A171" t="n">
        <v>9</v>
      </c>
      <c r="B171" t="n">
        <v>10</v>
      </c>
      <c r="C171" t="n">
        <v>12000</v>
      </c>
      <c r="D171" t="n">
        <v>25.21</v>
      </c>
      <c r="E171" t="n">
        <v>25.98</v>
      </c>
      <c r="F171" t="n">
        <v>6000</v>
      </c>
    </row>
    <row r="172">
      <c r="A172" t="n">
        <v>9</v>
      </c>
      <c r="B172" t="n">
        <v>11</v>
      </c>
    </row>
    <row r="173">
      <c r="A173" t="n">
        <v>9</v>
      </c>
      <c r="B173" t="n">
        <v>12</v>
      </c>
    </row>
    <row r="174">
      <c r="A174" t="n">
        <v>9</v>
      </c>
      <c r="B174" t="n">
        <v>13</v>
      </c>
    </row>
    <row r="175">
      <c r="A175" t="n">
        <v>9</v>
      </c>
      <c r="B175" t="n">
        <v>14</v>
      </c>
    </row>
    <row r="176">
      <c r="A176" t="n">
        <v>9</v>
      </c>
      <c r="B176" t="n">
        <v>15</v>
      </c>
    </row>
    <row r="177">
      <c r="A177" t="n">
        <v>9</v>
      </c>
      <c r="B177" t="n">
        <v>16</v>
      </c>
    </row>
    <row r="178">
      <c r="A178" t="n">
        <v>9</v>
      </c>
      <c r="B178" t="n">
        <v>17</v>
      </c>
    </row>
    <row r="179">
      <c r="A179" t="n">
        <v>9</v>
      </c>
      <c r="B179" t="n">
        <v>18</v>
      </c>
    </row>
    <row r="180">
      <c r="A180" t="n">
        <v>9</v>
      </c>
      <c r="B180" t="n">
        <v>19</v>
      </c>
    </row>
    <row r="181">
      <c r="A181" t="n">
        <v>9</v>
      </c>
      <c r="B181" t="n">
        <v>20</v>
      </c>
    </row>
    <row r="182">
      <c r="A182" t="n">
        <v>10</v>
      </c>
      <c r="B182" t="n">
        <v>1</v>
      </c>
      <c r="C182" t="n">
        <v>1200</v>
      </c>
      <c r="D182" t="n">
        <v>10.32</v>
      </c>
      <c r="E182" t="n">
        <v>10.37</v>
      </c>
      <c r="F182" t="n">
        <v>1200</v>
      </c>
    </row>
    <row r="183">
      <c r="A183" t="n">
        <v>10</v>
      </c>
      <c r="B183" t="n">
        <v>2</v>
      </c>
      <c r="C183" t="n">
        <v>2400</v>
      </c>
      <c r="D183" t="n">
        <v>10.31</v>
      </c>
      <c r="E183" t="n">
        <v>10.38</v>
      </c>
      <c r="F183" t="n">
        <v>4800</v>
      </c>
    </row>
    <row r="184">
      <c r="A184" t="n">
        <v>10</v>
      </c>
      <c r="B184" t="n">
        <v>3</v>
      </c>
      <c r="C184" t="n">
        <v>1200</v>
      </c>
      <c r="D184" t="n">
        <v>10.3</v>
      </c>
      <c r="E184" t="n">
        <v>10.39</v>
      </c>
      <c r="F184" t="n">
        <v>4800</v>
      </c>
    </row>
    <row r="185">
      <c r="A185" t="n">
        <v>10</v>
      </c>
      <c r="B185" t="n">
        <v>4</v>
      </c>
      <c r="C185" t="n">
        <v>1200</v>
      </c>
      <c r="D185" t="n">
        <v>10.26</v>
      </c>
      <c r="E185" t="n">
        <v>10.43</v>
      </c>
      <c r="F185" t="n">
        <v>3600</v>
      </c>
    </row>
    <row r="186">
      <c r="A186" t="n">
        <v>10</v>
      </c>
      <c r="B186" t="n">
        <v>5</v>
      </c>
      <c r="C186" t="n">
        <v>4800</v>
      </c>
      <c r="D186" t="n">
        <v>10.24</v>
      </c>
      <c r="E186" t="n">
        <v>10.45</v>
      </c>
      <c r="F186" t="n">
        <v>4800</v>
      </c>
    </row>
    <row r="187">
      <c r="A187" t="n">
        <v>10</v>
      </c>
      <c r="B187" t="n">
        <v>6</v>
      </c>
      <c r="C187" t="n">
        <v>1200</v>
      </c>
      <c r="D187" t="n">
        <v>10.22</v>
      </c>
      <c r="E187" t="n">
        <v>10.47</v>
      </c>
      <c r="F187" t="n">
        <v>3600</v>
      </c>
    </row>
    <row r="188">
      <c r="A188" t="n">
        <v>10</v>
      </c>
      <c r="B188" t="n">
        <v>7</v>
      </c>
      <c r="C188" t="n">
        <v>2400</v>
      </c>
      <c r="D188" t="n">
        <v>10.14</v>
      </c>
      <c r="E188" t="n">
        <v>10.55</v>
      </c>
      <c r="F188" t="n">
        <v>4800</v>
      </c>
    </row>
    <row r="189">
      <c r="A189" t="n">
        <v>10</v>
      </c>
      <c r="B189" t="n">
        <v>8</v>
      </c>
      <c r="C189" t="n">
        <v>1200</v>
      </c>
      <c r="D189" t="n">
        <v>10.11</v>
      </c>
      <c r="E189" t="n">
        <v>10.58</v>
      </c>
      <c r="F189" t="n">
        <v>2400</v>
      </c>
    </row>
    <row r="190">
      <c r="A190" t="n">
        <v>10</v>
      </c>
      <c r="B190" t="n">
        <v>9</v>
      </c>
      <c r="C190" t="n">
        <v>2400</v>
      </c>
      <c r="D190" t="n">
        <v>10.08</v>
      </c>
      <c r="E190" t="n">
        <v>10.61</v>
      </c>
      <c r="F190" t="n">
        <v>1200</v>
      </c>
    </row>
    <row r="191">
      <c r="A191" t="n">
        <v>10</v>
      </c>
      <c r="B191" t="n">
        <v>10</v>
      </c>
      <c r="C191" t="n">
        <v>4800</v>
      </c>
      <c r="D191" t="n">
        <v>9.960000000000001</v>
      </c>
      <c r="E191" t="n">
        <v>10.73</v>
      </c>
      <c r="F191" t="n">
        <v>4800</v>
      </c>
    </row>
    <row r="192">
      <c r="A192" t="n">
        <v>10</v>
      </c>
      <c r="B192" t="n">
        <v>11</v>
      </c>
    </row>
    <row r="193">
      <c r="A193" t="n">
        <v>10</v>
      </c>
      <c r="B193" t="n">
        <v>12</v>
      </c>
    </row>
    <row r="194">
      <c r="A194" t="n">
        <v>10</v>
      </c>
      <c r="B194" t="n">
        <v>13</v>
      </c>
    </row>
    <row r="195">
      <c r="A195" t="n">
        <v>10</v>
      </c>
      <c r="B195" t="n">
        <v>14</v>
      </c>
    </row>
    <row r="196">
      <c r="A196" t="n">
        <v>10</v>
      </c>
      <c r="B196" t="n">
        <v>15</v>
      </c>
    </row>
    <row r="197">
      <c r="A197" t="n">
        <v>10</v>
      </c>
      <c r="B197" t="n">
        <v>16</v>
      </c>
    </row>
    <row r="198">
      <c r="A198" t="n">
        <v>10</v>
      </c>
      <c r="B198" t="n">
        <v>17</v>
      </c>
    </row>
    <row r="199">
      <c r="A199" t="n">
        <v>10</v>
      </c>
      <c r="B199" t="n">
        <v>18</v>
      </c>
    </row>
    <row r="200">
      <c r="A200" t="n">
        <v>10</v>
      </c>
      <c r="B200" t="n">
        <v>19</v>
      </c>
    </row>
    <row r="201">
      <c r="A201" t="n">
        <v>10</v>
      </c>
      <c r="B201" t="n">
        <v>20</v>
      </c>
    </row>
    <row r="202">
      <c r="A202" t="n">
        <v>11</v>
      </c>
      <c r="B202" t="n">
        <v>1</v>
      </c>
      <c r="C202" t="n">
        <v>8000</v>
      </c>
      <c r="D202" t="n">
        <v>20.1</v>
      </c>
      <c r="E202" t="n">
        <v>20.15</v>
      </c>
      <c r="F202" t="n">
        <v>8000</v>
      </c>
    </row>
    <row r="203">
      <c r="A203" t="n">
        <v>11</v>
      </c>
      <c r="B203" t="n">
        <v>2</v>
      </c>
      <c r="C203" t="n">
        <v>6000</v>
      </c>
      <c r="D203" t="n">
        <v>20.09</v>
      </c>
      <c r="E203" t="n">
        <v>20.16</v>
      </c>
      <c r="F203" t="n">
        <v>2000</v>
      </c>
    </row>
    <row r="204">
      <c r="A204" t="n">
        <v>11</v>
      </c>
      <c r="B204" t="n">
        <v>3</v>
      </c>
      <c r="C204" t="n">
        <v>2000</v>
      </c>
      <c r="D204" t="n">
        <v>20.08</v>
      </c>
      <c r="E204" t="n">
        <v>20.17</v>
      </c>
      <c r="F204" t="n">
        <v>4000</v>
      </c>
    </row>
    <row r="205">
      <c r="A205" t="n">
        <v>11</v>
      </c>
      <c r="B205" t="n">
        <v>4</v>
      </c>
      <c r="C205" t="n">
        <v>2000</v>
      </c>
      <c r="D205" t="n">
        <v>20.04</v>
      </c>
      <c r="E205" t="n">
        <v>20.21</v>
      </c>
      <c r="F205" t="n">
        <v>2000</v>
      </c>
    </row>
    <row r="206">
      <c r="A206" t="n">
        <v>11</v>
      </c>
      <c r="B206" t="n">
        <v>5</v>
      </c>
      <c r="C206" t="n">
        <v>4000</v>
      </c>
      <c r="D206" t="n">
        <v>20.02</v>
      </c>
      <c r="E206" t="n">
        <v>20.23</v>
      </c>
      <c r="F206" t="n">
        <v>4000</v>
      </c>
    </row>
    <row r="207">
      <c r="A207" t="n">
        <v>11</v>
      </c>
      <c r="B207" t="n">
        <v>6</v>
      </c>
      <c r="C207" t="n">
        <v>4000</v>
      </c>
      <c r="D207" t="n">
        <v>20</v>
      </c>
      <c r="E207" t="n">
        <v>20.25</v>
      </c>
      <c r="F207" t="n">
        <v>2000</v>
      </c>
    </row>
    <row r="208">
      <c r="A208" t="n">
        <v>11</v>
      </c>
      <c r="B208" t="n">
        <v>7</v>
      </c>
      <c r="C208" t="n">
        <v>6000</v>
      </c>
      <c r="D208" t="n">
        <v>19.92</v>
      </c>
      <c r="E208" t="n">
        <v>20.33</v>
      </c>
      <c r="F208" t="n">
        <v>4000</v>
      </c>
    </row>
    <row r="209">
      <c r="A209" t="n">
        <v>11</v>
      </c>
      <c r="B209" t="n">
        <v>8</v>
      </c>
      <c r="C209" t="n">
        <v>4000</v>
      </c>
      <c r="D209" t="n">
        <v>19.89</v>
      </c>
      <c r="E209" t="n">
        <v>20.36</v>
      </c>
      <c r="F209" t="n">
        <v>6000</v>
      </c>
    </row>
    <row r="210">
      <c r="A210" t="n">
        <v>11</v>
      </c>
      <c r="B210" t="n">
        <v>9</v>
      </c>
      <c r="C210" t="n">
        <v>4000</v>
      </c>
      <c r="D210" t="n">
        <v>19.86</v>
      </c>
      <c r="E210" t="n">
        <v>20.39</v>
      </c>
      <c r="F210" t="n">
        <v>4000</v>
      </c>
    </row>
    <row r="211">
      <c r="A211" t="n">
        <v>11</v>
      </c>
      <c r="B211" t="n">
        <v>10</v>
      </c>
      <c r="C211" t="n">
        <v>2000</v>
      </c>
      <c r="D211" t="n">
        <v>19.74</v>
      </c>
      <c r="E211" t="n">
        <v>20.51</v>
      </c>
      <c r="F211" t="n">
        <v>6000</v>
      </c>
    </row>
    <row r="212">
      <c r="A212" t="n">
        <v>11</v>
      </c>
      <c r="B212" t="n">
        <v>11</v>
      </c>
    </row>
    <row r="213">
      <c r="A213" t="n">
        <v>11</v>
      </c>
      <c r="B213" t="n">
        <v>12</v>
      </c>
    </row>
    <row r="214">
      <c r="A214" t="n">
        <v>11</v>
      </c>
      <c r="B214" t="n">
        <v>13</v>
      </c>
    </row>
    <row r="215">
      <c r="A215" t="n">
        <v>11</v>
      </c>
      <c r="B215" t="n">
        <v>14</v>
      </c>
    </row>
    <row r="216">
      <c r="A216" t="n">
        <v>11</v>
      </c>
      <c r="B216" t="n">
        <v>15</v>
      </c>
    </row>
    <row r="217">
      <c r="A217" t="n">
        <v>11</v>
      </c>
      <c r="B217" t="n">
        <v>16</v>
      </c>
    </row>
    <row r="218">
      <c r="A218" t="n">
        <v>11</v>
      </c>
      <c r="B218" t="n">
        <v>17</v>
      </c>
    </row>
    <row r="219">
      <c r="A219" t="n">
        <v>11</v>
      </c>
      <c r="B219" t="n">
        <v>18</v>
      </c>
    </row>
    <row r="220">
      <c r="A220" t="n">
        <v>11</v>
      </c>
      <c r="B220" t="n">
        <v>19</v>
      </c>
    </row>
    <row r="221">
      <c r="A221" t="n">
        <v>11</v>
      </c>
      <c r="B221" t="n">
        <v>20</v>
      </c>
    </row>
    <row r="222">
      <c r="A222" t="n">
        <v>12</v>
      </c>
      <c r="B222" t="n">
        <v>1</v>
      </c>
      <c r="C222" t="n">
        <v>2400</v>
      </c>
      <c r="D222" t="n">
        <v>10.26</v>
      </c>
      <c r="E222" t="n">
        <v>10.31</v>
      </c>
      <c r="F222" t="n">
        <v>2400</v>
      </c>
    </row>
    <row r="223">
      <c r="A223" t="n">
        <v>12</v>
      </c>
      <c r="B223" t="n">
        <v>2</v>
      </c>
      <c r="C223" t="n">
        <v>3600</v>
      </c>
      <c r="D223" t="n">
        <v>10.25</v>
      </c>
      <c r="E223" t="n">
        <v>10.32</v>
      </c>
      <c r="F223" t="n">
        <v>4800</v>
      </c>
    </row>
    <row r="224">
      <c r="A224" t="n">
        <v>12</v>
      </c>
      <c r="B224" t="n">
        <v>3</v>
      </c>
      <c r="C224" t="n">
        <v>4800</v>
      </c>
      <c r="D224" t="n">
        <v>10.24</v>
      </c>
      <c r="E224" t="n">
        <v>10.33</v>
      </c>
      <c r="F224" t="n">
        <v>2400</v>
      </c>
    </row>
    <row r="225">
      <c r="A225" t="n">
        <v>12</v>
      </c>
      <c r="B225" t="n">
        <v>4</v>
      </c>
      <c r="C225" t="n">
        <v>2400</v>
      </c>
      <c r="D225" t="n">
        <v>10.2</v>
      </c>
      <c r="E225" t="n">
        <v>10.37</v>
      </c>
      <c r="F225" t="n">
        <v>3600</v>
      </c>
    </row>
    <row r="226">
      <c r="A226" t="n">
        <v>12</v>
      </c>
      <c r="B226" t="n">
        <v>5</v>
      </c>
      <c r="C226" t="n">
        <v>3600</v>
      </c>
      <c r="D226" t="n">
        <v>10.18</v>
      </c>
      <c r="E226" t="n">
        <v>10.39</v>
      </c>
      <c r="F226" t="n">
        <v>1200</v>
      </c>
    </row>
    <row r="227">
      <c r="A227" t="n">
        <v>12</v>
      </c>
      <c r="B227" t="n">
        <v>6</v>
      </c>
      <c r="C227" t="n">
        <v>2400</v>
      </c>
      <c r="D227" t="n">
        <v>10.16</v>
      </c>
      <c r="E227" t="n">
        <v>10.41</v>
      </c>
      <c r="F227" t="n">
        <v>3600</v>
      </c>
    </row>
    <row r="228">
      <c r="A228" t="n">
        <v>12</v>
      </c>
      <c r="B228" t="n">
        <v>7</v>
      </c>
      <c r="C228" t="n">
        <v>3600</v>
      </c>
      <c r="D228" t="n">
        <v>10.08</v>
      </c>
      <c r="E228" t="n">
        <v>10.49</v>
      </c>
      <c r="F228" t="n">
        <v>1200</v>
      </c>
    </row>
    <row r="229">
      <c r="A229" t="n">
        <v>12</v>
      </c>
      <c r="B229" t="n">
        <v>8</v>
      </c>
      <c r="C229" t="n">
        <v>3600</v>
      </c>
      <c r="D229" t="n">
        <v>10.05</v>
      </c>
      <c r="E229" t="n">
        <v>10.52</v>
      </c>
      <c r="F229" t="n">
        <v>2400</v>
      </c>
    </row>
    <row r="230">
      <c r="A230" t="n">
        <v>12</v>
      </c>
      <c r="B230" t="n">
        <v>9</v>
      </c>
      <c r="C230" t="n">
        <v>4800</v>
      </c>
      <c r="D230" t="n">
        <v>10.02</v>
      </c>
      <c r="E230" t="n">
        <v>10.55</v>
      </c>
      <c r="F230" t="n">
        <v>2400</v>
      </c>
    </row>
    <row r="231">
      <c r="A231" t="n">
        <v>12</v>
      </c>
      <c r="B231" t="n">
        <v>10</v>
      </c>
      <c r="C231" t="n">
        <v>4800</v>
      </c>
      <c r="D231" t="n">
        <v>9.9</v>
      </c>
      <c r="E231" t="n">
        <v>10.67</v>
      </c>
      <c r="F231" t="n">
        <v>3600</v>
      </c>
    </row>
    <row r="232">
      <c r="A232" t="n">
        <v>12</v>
      </c>
      <c r="B232" t="n">
        <v>11</v>
      </c>
    </row>
    <row r="233">
      <c r="A233" t="n">
        <v>12</v>
      </c>
      <c r="B233" t="n">
        <v>12</v>
      </c>
    </row>
    <row r="234">
      <c r="A234" t="n">
        <v>12</v>
      </c>
      <c r="B234" t="n">
        <v>13</v>
      </c>
    </row>
    <row r="235">
      <c r="A235" t="n">
        <v>12</v>
      </c>
      <c r="B235" t="n">
        <v>14</v>
      </c>
    </row>
    <row r="236">
      <c r="A236" t="n">
        <v>12</v>
      </c>
      <c r="B236" t="n">
        <v>15</v>
      </c>
    </row>
    <row r="237">
      <c r="A237" t="n">
        <v>12</v>
      </c>
      <c r="B237" t="n">
        <v>16</v>
      </c>
    </row>
    <row r="238">
      <c r="A238" t="n">
        <v>12</v>
      </c>
      <c r="B238" t="n">
        <v>17</v>
      </c>
    </row>
    <row r="239">
      <c r="A239" t="n">
        <v>12</v>
      </c>
      <c r="B239" t="n">
        <v>18</v>
      </c>
    </row>
    <row r="240">
      <c r="A240" t="n">
        <v>12</v>
      </c>
      <c r="B240" t="n">
        <v>19</v>
      </c>
    </row>
    <row r="241">
      <c r="A241" t="n">
        <v>12</v>
      </c>
      <c r="B241" t="n">
        <v>20</v>
      </c>
    </row>
    <row r="242">
      <c r="A242" t="n">
        <v>13</v>
      </c>
      <c r="B242" t="n">
        <v>1</v>
      </c>
      <c r="C242" t="n">
        <v>6000</v>
      </c>
      <c r="D242" t="n">
        <v>25.55</v>
      </c>
      <c r="E242" t="n">
        <v>25.6</v>
      </c>
      <c r="F242" t="n">
        <v>12000</v>
      </c>
    </row>
    <row r="243">
      <c r="A243" t="n">
        <v>13</v>
      </c>
      <c r="B243" t="n">
        <v>2</v>
      </c>
      <c r="C243" t="n">
        <v>6000</v>
      </c>
      <c r="D243" t="n">
        <v>25.54</v>
      </c>
      <c r="E243" t="n">
        <v>25.61</v>
      </c>
      <c r="F243" t="n">
        <v>6000</v>
      </c>
    </row>
    <row r="244">
      <c r="A244" t="n">
        <v>13</v>
      </c>
      <c r="B244" t="n">
        <v>3</v>
      </c>
      <c r="C244" t="n">
        <v>12000</v>
      </c>
      <c r="D244" t="n">
        <v>25.53</v>
      </c>
      <c r="E244" t="n">
        <v>25.62</v>
      </c>
      <c r="F244" t="n">
        <v>6000</v>
      </c>
    </row>
    <row r="245">
      <c r="A245" t="n">
        <v>13</v>
      </c>
      <c r="B245" t="n">
        <v>4</v>
      </c>
      <c r="C245" t="n">
        <v>3000</v>
      </c>
      <c r="D245" t="n">
        <v>25.49</v>
      </c>
      <c r="E245" t="n">
        <v>25.66</v>
      </c>
      <c r="F245" t="n">
        <v>9000</v>
      </c>
    </row>
    <row r="246">
      <c r="A246" t="n">
        <v>13</v>
      </c>
      <c r="B246" t="n">
        <v>5</v>
      </c>
      <c r="C246" t="n">
        <v>6000</v>
      </c>
      <c r="D246" t="n">
        <v>25.47</v>
      </c>
      <c r="E246" t="n">
        <v>25.68</v>
      </c>
      <c r="F246" t="n">
        <v>9000</v>
      </c>
    </row>
    <row r="247">
      <c r="A247" t="n">
        <v>13</v>
      </c>
      <c r="B247" t="n">
        <v>6</v>
      </c>
      <c r="C247" t="n">
        <v>3000</v>
      </c>
      <c r="D247" t="n">
        <v>25.45</v>
      </c>
      <c r="E247" t="n">
        <v>25.7</v>
      </c>
      <c r="F247" t="n">
        <v>6000</v>
      </c>
    </row>
    <row r="248">
      <c r="A248" t="n">
        <v>13</v>
      </c>
      <c r="B248" t="n">
        <v>7</v>
      </c>
      <c r="C248" t="n">
        <v>9000</v>
      </c>
      <c r="D248" t="n">
        <v>25.37</v>
      </c>
      <c r="E248" t="n">
        <v>25.78</v>
      </c>
      <c r="F248" t="n">
        <v>3000</v>
      </c>
    </row>
    <row r="249">
      <c r="A249" t="n">
        <v>13</v>
      </c>
      <c r="B249" t="n">
        <v>8</v>
      </c>
      <c r="C249" t="n">
        <v>6000</v>
      </c>
      <c r="D249" t="n">
        <v>25.34</v>
      </c>
      <c r="E249" t="n">
        <v>25.81</v>
      </c>
      <c r="F249" t="n">
        <v>9000</v>
      </c>
    </row>
    <row r="250">
      <c r="A250" t="n">
        <v>13</v>
      </c>
      <c r="B250" t="n">
        <v>9</v>
      </c>
      <c r="C250" t="n">
        <v>12000</v>
      </c>
      <c r="D250" t="n">
        <v>25.31</v>
      </c>
      <c r="E250" t="n">
        <v>25.84</v>
      </c>
      <c r="F250" t="n">
        <v>12000</v>
      </c>
    </row>
    <row r="251">
      <c r="A251" t="n">
        <v>13</v>
      </c>
      <c r="B251" t="n">
        <v>10</v>
      </c>
      <c r="C251" t="n">
        <v>9000</v>
      </c>
      <c r="D251" t="n">
        <v>25.19</v>
      </c>
      <c r="E251" t="n">
        <v>25.96</v>
      </c>
      <c r="F251" t="n">
        <v>6000</v>
      </c>
    </row>
    <row r="252">
      <c r="A252" t="n">
        <v>13</v>
      </c>
      <c r="B252" t="n">
        <v>11</v>
      </c>
    </row>
    <row r="253">
      <c r="A253" t="n">
        <v>13</v>
      </c>
      <c r="B253" t="n">
        <v>12</v>
      </c>
    </row>
    <row r="254">
      <c r="A254" t="n">
        <v>13</v>
      </c>
      <c r="B254" t="n">
        <v>13</v>
      </c>
    </row>
    <row r="255">
      <c r="A255" t="n">
        <v>13</v>
      </c>
      <c r="B255" t="n">
        <v>14</v>
      </c>
    </row>
    <row r="256">
      <c r="A256" t="n">
        <v>13</v>
      </c>
      <c r="B256" t="n">
        <v>15</v>
      </c>
    </row>
    <row r="257">
      <c r="A257" t="n">
        <v>13</v>
      </c>
      <c r="B257" t="n">
        <v>16</v>
      </c>
    </row>
    <row r="258">
      <c r="A258" t="n">
        <v>13</v>
      </c>
      <c r="B258" t="n">
        <v>17</v>
      </c>
    </row>
    <row r="259">
      <c r="A259" t="n">
        <v>13</v>
      </c>
      <c r="B259" t="n">
        <v>18</v>
      </c>
    </row>
    <row r="260">
      <c r="A260" t="n">
        <v>13</v>
      </c>
      <c r="B260" t="n">
        <v>19</v>
      </c>
    </row>
    <row r="261">
      <c r="A261" t="n">
        <v>13</v>
      </c>
      <c r="B261" t="n">
        <v>20</v>
      </c>
    </row>
    <row r="262">
      <c r="A262" t="n">
        <v>14</v>
      </c>
      <c r="B262" t="n">
        <v>1</v>
      </c>
      <c r="C262" t="n">
        <v>12800</v>
      </c>
      <c r="D262" t="n">
        <v>20.2</v>
      </c>
      <c r="E262" t="n">
        <v>20.25</v>
      </c>
      <c r="F262" t="n">
        <v>3200</v>
      </c>
    </row>
    <row r="263">
      <c r="A263" t="n">
        <v>14</v>
      </c>
      <c r="B263" t="n">
        <v>2</v>
      </c>
      <c r="C263" t="n">
        <v>6400</v>
      </c>
      <c r="D263" t="n">
        <v>20.19</v>
      </c>
      <c r="E263" t="n">
        <v>20.26</v>
      </c>
      <c r="F263" t="n">
        <v>12800</v>
      </c>
    </row>
    <row r="264">
      <c r="A264" t="n">
        <v>14</v>
      </c>
      <c r="B264" t="n">
        <v>3</v>
      </c>
      <c r="C264" t="n">
        <v>3200</v>
      </c>
      <c r="D264" t="n">
        <v>20.18</v>
      </c>
      <c r="E264" t="n">
        <v>20.27</v>
      </c>
      <c r="F264" t="n">
        <v>9600</v>
      </c>
    </row>
    <row r="265">
      <c r="A265" t="n">
        <v>14</v>
      </c>
      <c r="B265" t="n">
        <v>4</v>
      </c>
      <c r="C265" t="n">
        <v>9600</v>
      </c>
      <c r="D265" t="n">
        <v>20.14</v>
      </c>
      <c r="E265" t="n">
        <v>20.31</v>
      </c>
      <c r="F265" t="n">
        <v>6400</v>
      </c>
    </row>
    <row r="266">
      <c r="A266" t="n">
        <v>14</v>
      </c>
      <c r="B266" t="n">
        <v>5</v>
      </c>
      <c r="C266" t="n">
        <v>9600</v>
      </c>
      <c r="D266" t="n">
        <v>20.12</v>
      </c>
      <c r="E266" t="n">
        <v>20.33</v>
      </c>
      <c r="F266" t="n">
        <v>3200</v>
      </c>
    </row>
    <row r="267">
      <c r="A267" t="n">
        <v>14</v>
      </c>
      <c r="B267" t="n">
        <v>6</v>
      </c>
      <c r="C267" t="n">
        <v>3200</v>
      </c>
      <c r="D267" t="n">
        <v>20.1</v>
      </c>
      <c r="E267" t="n">
        <v>20.35</v>
      </c>
      <c r="F267" t="n">
        <v>3200</v>
      </c>
    </row>
    <row r="268">
      <c r="A268" t="n">
        <v>14</v>
      </c>
      <c r="B268" t="n">
        <v>7</v>
      </c>
      <c r="C268" t="n">
        <v>9600</v>
      </c>
      <c r="D268" t="n">
        <v>20.02</v>
      </c>
      <c r="E268" t="n">
        <v>20.43</v>
      </c>
      <c r="F268" t="n">
        <v>12800</v>
      </c>
    </row>
    <row r="269">
      <c r="A269" t="n">
        <v>14</v>
      </c>
      <c r="B269" t="n">
        <v>8</v>
      </c>
      <c r="C269" t="n">
        <v>12800</v>
      </c>
      <c r="D269" t="n">
        <v>19.99</v>
      </c>
      <c r="E269" t="n">
        <v>20.46</v>
      </c>
      <c r="F269" t="n">
        <v>9600</v>
      </c>
    </row>
    <row r="270">
      <c r="A270" t="n">
        <v>14</v>
      </c>
      <c r="B270" t="n">
        <v>9</v>
      </c>
      <c r="C270" t="n">
        <v>3200</v>
      </c>
      <c r="D270" t="n">
        <v>19.96</v>
      </c>
      <c r="E270" t="n">
        <v>20.49</v>
      </c>
      <c r="F270" t="n">
        <v>12800</v>
      </c>
    </row>
    <row r="271">
      <c r="A271" t="n">
        <v>14</v>
      </c>
      <c r="B271" t="n">
        <v>10</v>
      </c>
      <c r="C271" t="n">
        <v>3200</v>
      </c>
      <c r="D271" t="n">
        <v>19.84</v>
      </c>
      <c r="E271" t="n">
        <v>20.61</v>
      </c>
      <c r="F271" t="n">
        <v>6400</v>
      </c>
    </row>
    <row r="272">
      <c r="A272" t="n">
        <v>14</v>
      </c>
      <c r="B272" t="n">
        <v>11</v>
      </c>
    </row>
    <row r="273">
      <c r="A273" t="n">
        <v>14</v>
      </c>
      <c r="B273" t="n">
        <v>12</v>
      </c>
    </row>
    <row r="274">
      <c r="A274" t="n">
        <v>14</v>
      </c>
      <c r="B274" t="n">
        <v>13</v>
      </c>
    </row>
    <row r="275">
      <c r="A275" t="n">
        <v>14</v>
      </c>
      <c r="B275" t="n">
        <v>14</v>
      </c>
    </row>
    <row r="276">
      <c r="A276" t="n">
        <v>14</v>
      </c>
      <c r="B276" t="n">
        <v>15</v>
      </c>
    </row>
    <row r="277">
      <c r="A277" t="n">
        <v>14</v>
      </c>
      <c r="B277" t="n">
        <v>16</v>
      </c>
    </row>
    <row r="278">
      <c r="A278" t="n">
        <v>14</v>
      </c>
      <c r="B278" t="n">
        <v>17</v>
      </c>
    </row>
    <row r="279">
      <c r="A279" t="n">
        <v>14</v>
      </c>
      <c r="B279" t="n">
        <v>18</v>
      </c>
    </row>
    <row r="280">
      <c r="A280" t="n">
        <v>14</v>
      </c>
      <c r="B280" t="n">
        <v>19</v>
      </c>
    </row>
    <row r="281">
      <c r="A281" t="n">
        <v>14</v>
      </c>
      <c r="B281" t="n">
        <v>20</v>
      </c>
    </row>
    <row r="282">
      <c r="A282" t="n">
        <v>15</v>
      </c>
      <c r="B282" t="n">
        <v>1</v>
      </c>
      <c r="C282" t="n">
        <v>12800</v>
      </c>
      <c r="D282" t="n">
        <v>20.11</v>
      </c>
      <c r="E282" t="n">
        <v>20.16</v>
      </c>
      <c r="F282" t="n">
        <v>9600</v>
      </c>
    </row>
    <row r="283">
      <c r="A283" t="n">
        <v>15</v>
      </c>
      <c r="B283" t="n">
        <v>2</v>
      </c>
      <c r="C283" t="n">
        <v>12800</v>
      </c>
      <c r="D283" t="n">
        <v>20.1</v>
      </c>
      <c r="E283" t="n">
        <v>20.17</v>
      </c>
      <c r="F283" t="n">
        <v>6400</v>
      </c>
    </row>
    <row r="284">
      <c r="A284" t="n">
        <v>15</v>
      </c>
      <c r="B284" t="n">
        <v>3</v>
      </c>
      <c r="C284" t="n">
        <v>6400</v>
      </c>
      <c r="D284" t="n">
        <v>20.09</v>
      </c>
      <c r="E284" t="n">
        <v>20.18</v>
      </c>
      <c r="F284" t="n">
        <v>9600</v>
      </c>
    </row>
    <row r="285">
      <c r="A285" t="n">
        <v>15</v>
      </c>
      <c r="B285" t="n">
        <v>4</v>
      </c>
      <c r="C285" t="n">
        <v>3200</v>
      </c>
      <c r="D285" t="n">
        <v>20.05</v>
      </c>
      <c r="E285" t="n">
        <v>20.22</v>
      </c>
      <c r="F285" t="n">
        <v>6400</v>
      </c>
    </row>
    <row r="286">
      <c r="A286" t="n">
        <v>15</v>
      </c>
      <c r="B286" t="n">
        <v>5</v>
      </c>
      <c r="C286" t="n">
        <v>9600</v>
      </c>
      <c r="D286" t="n">
        <v>20.03</v>
      </c>
      <c r="E286" t="n">
        <v>20.24</v>
      </c>
      <c r="F286" t="n">
        <v>12800</v>
      </c>
    </row>
    <row r="287">
      <c r="A287" t="n">
        <v>15</v>
      </c>
      <c r="B287" t="n">
        <v>6</v>
      </c>
      <c r="C287" t="n">
        <v>12800</v>
      </c>
      <c r="D287" t="n">
        <v>20.01</v>
      </c>
      <c r="E287" t="n">
        <v>20.26</v>
      </c>
      <c r="F287" t="n">
        <v>3200</v>
      </c>
    </row>
    <row r="288">
      <c r="A288" t="n">
        <v>15</v>
      </c>
      <c r="B288" t="n">
        <v>7</v>
      </c>
      <c r="C288" t="n">
        <v>9600</v>
      </c>
      <c r="D288" t="n">
        <v>19.93</v>
      </c>
      <c r="E288" t="n">
        <v>20.34</v>
      </c>
      <c r="F288" t="n">
        <v>12800</v>
      </c>
    </row>
    <row r="289">
      <c r="A289" t="n">
        <v>15</v>
      </c>
      <c r="B289" t="n">
        <v>8</v>
      </c>
      <c r="C289" t="n">
        <v>12800</v>
      </c>
      <c r="D289" t="n">
        <v>19.9</v>
      </c>
      <c r="E289" t="n">
        <v>20.37</v>
      </c>
      <c r="F289" t="n">
        <v>12800</v>
      </c>
    </row>
    <row r="290">
      <c r="A290" t="n">
        <v>15</v>
      </c>
      <c r="B290" t="n">
        <v>9</v>
      </c>
      <c r="C290" t="n">
        <v>9600</v>
      </c>
      <c r="D290" t="n">
        <v>19.87</v>
      </c>
      <c r="E290" t="n">
        <v>20.4</v>
      </c>
      <c r="F290" t="n">
        <v>3200</v>
      </c>
    </row>
    <row r="291">
      <c r="A291" t="n">
        <v>15</v>
      </c>
      <c r="B291" t="n">
        <v>10</v>
      </c>
      <c r="C291" t="n">
        <v>6400</v>
      </c>
      <c r="D291" t="n">
        <v>19.75</v>
      </c>
      <c r="E291" t="n">
        <v>20.52</v>
      </c>
      <c r="F291" t="n">
        <v>6400</v>
      </c>
    </row>
    <row r="292">
      <c r="A292" t="n">
        <v>15</v>
      </c>
      <c r="B292" t="n">
        <v>11</v>
      </c>
    </row>
    <row r="293">
      <c r="A293" t="n">
        <v>15</v>
      </c>
      <c r="B293" t="n">
        <v>12</v>
      </c>
    </row>
    <row r="294">
      <c r="A294" t="n">
        <v>15</v>
      </c>
      <c r="B294" t="n">
        <v>13</v>
      </c>
    </row>
    <row r="295">
      <c r="A295" t="n">
        <v>15</v>
      </c>
      <c r="B295" t="n">
        <v>14</v>
      </c>
    </row>
    <row r="296">
      <c r="A296" t="n">
        <v>15</v>
      </c>
      <c r="B296" t="n">
        <v>15</v>
      </c>
    </row>
    <row r="297">
      <c r="A297" t="n">
        <v>15</v>
      </c>
      <c r="B297" t="n">
        <v>16</v>
      </c>
    </row>
    <row r="298">
      <c r="A298" t="n">
        <v>15</v>
      </c>
      <c r="B298" t="n">
        <v>17</v>
      </c>
    </row>
    <row r="299">
      <c r="A299" t="n">
        <v>15</v>
      </c>
      <c r="B299" t="n">
        <v>18</v>
      </c>
    </row>
    <row r="300">
      <c r="A300" t="n">
        <v>15</v>
      </c>
      <c r="B300" t="n">
        <v>19</v>
      </c>
    </row>
    <row r="301">
      <c r="A301" t="n">
        <v>15</v>
      </c>
      <c r="B301" t="n">
        <v>20</v>
      </c>
    </row>
    <row r="302">
      <c r="A302" t="n">
        <v>16</v>
      </c>
      <c r="B302" t="n">
        <v>1</v>
      </c>
      <c r="C302" t="n">
        <v>12000</v>
      </c>
      <c r="D302" t="n">
        <v>25.53</v>
      </c>
      <c r="E302" t="n">
        <v>25.58</v>
      </c>
      <c r="F302" t="n">
        <v>12000</v>
      </c>
    </row>
    <row r="303">
      <c r="A303" t="n">
        <v>16</v>
      </c>
      <c r="B303" t="n">
        <v>2</v>
      </c>
      <c r="C303" t="n">
        <v>3000</v>
      </c>
      <c r="D303" t="n">
        <v>25.52</v>
      </c>
      <c r="E303" t="n">
        <v>25.59</v>
      </c>
      <c r="F303" t="n">
        <v>6000</v>
      </c>
    </row>
    <row r="304">
      <c r="A304" t="n">
        <v>16</v>
      </c>
      <c r="B304" t="n">
        <v>3</v>
      </c>
      <c r="C304" t="n">
        <v>6000</v>
      </c>
      <c r="D304" t="n">
        <v>25.51</v>
      </c>
      <c r="E304" t="n">
        <v>25.6</v>
      </c>
      <c r="F304" t="n">
        <v>9000</v>
      </c>
    </row>
    <row r="305">
      <c r="A305" t="n">
        <v>16</v>
      </c>
      <c r="B305" t="n">
        <v>4</v>
      </c>
      <c r="C305" t="n">
        <v>12000</v>
      </c>
      <c r="D305" t="n">
        <v>25.47</v>
      </c>
      <c r="E305" t="n">
        <v>25.64</v>
      </c>
      <c r="F305" t="n">
        <v>6000</v>
      </c>
    </row>
    <row r="306">
      <c r="A306" t="n">
        <v>16</v>
      </c>
      <c r="B306" t="n">
        <v>5</v>
      </c>
      <c r="C306" t="n">
        <v>12000</v>
      </c>
      <c r="D306" t="n">
        <v>25.45</v>
      </c>
      <c r="E306" t="n">
        <v>25.66</v>
      </c>
      <c r="F306" t="n">
        <v>3000</v>
      </c>
    </row>
    <row r="307">
      <c r="A307" t="n">
        <v>16</v>
      </c>
      <c r="B307" t="n">
        <v>6</v>
      </c>
      <c r="C307" t="n">
        <v>6000</v>
      </c>
      <c r="D307" t="n">
        <v>25.43</v>
      </c>
      <c r="E307" t="n">
        <v>25.68</v>
      </c>
      <c r="F307" t="n">
        <v>6000</v>
      </c>
    </row>
    <row r="308">
      <c r="A308" t="n">
        <v>16</v>
      </c>
      <c r="B308" t="n">
        <v>7</v>
      </c>
      <c r="C308" t="n">
        <v>3000</v>
      </c>
      <c r="D308" t="n">
        <v>25.35</v>
      </c>
      <c r="E308" t="n">
        <v>25.76</v>
      </c>
      <c r="F308" t="n">
        <v>9000</v>
      </c>
    </row>
    <row r="309">
      <c r="A309" t="n">
        <v>16</v>
      </c>
      <c r="B309" t="n">
        <v>8</v>
      </c>
      <c r="C309" t="n">
        <v>6000</v>
      </c>
      <c r="D309" t="n">
        <v>25.32</v>
      </c>
      <c r="E309" t="n">
        <v>25.79</v>
      </c>
      <c r="F309" t="n">
        <v>9000</v>
      </c>
    </row>
    <row r="310">
      <c r="A310" t="n">
        <v>16</v>
      </c>
      <c r="B310" t="n">
        <v>9</v>
      </c>
      <c r="C310" t="n">
        <v>9000</v>
      </c>
      <c r="D310" t="n">
        <v>25.29</v>
      </c>
      <c r="E310" t="n">
        <v>25.82</v>
      </c>
      <c r="F310" t="n">
        <v>12000</v>
      </c>
    </row>
    <row r="311">
      <c r="A311" t="n">
        <v>16</v>
      </c>
      <c r="B311" t="n">
        <v>10</v>
      </c>
      <c r="C311" t="n">
        <v>12000</v>
      </c>
      <c r="D311" t="n">
        <v>25.17</v>
      </c>
      <c r="E311" t="n">
        <v>25.94</v>
      </c>
      <c r="F311" t="n">
        <v>6000</v>
      </c>
    </row>
    <row r="312">
      <c r="A312" t="n">
        <v>16</v>
      </c>
      <c r="B312" t="n">
        <v>11</v>
      </c>
    </row>
    <row r="313">
      <c r="A313" t="n">
        <v>16</v>
      </c>
      <c r="B313" t="n">
        <v>12</v>
      </c>
    </row>
    <row r="314">
      <c r="A314" t="n">
        <v>16</v>
      </c>
      <c r="B314" t="n">
        <v>13</v>
      </c>
    </row>
    <row r="315">
      <c r="A315" t="n">
        <v>16</v>
      </c>
      <c r="B315" t="n">
        <v>14</v>
      </c>
    </row>
    <row r="316">
      <c r="A316" t="n">
        <v>16</v>
      </c>
      <c r="B316" t="n">
        <v>15</v>
      </c>
    </row>
    <row r="317">
      <c r="A317" t="n">
        <v>16</v>
      </c>
      <c r="B317" t="n">
        <v>16</v>
      </c>
    </row>
    <row r="318">
      <c r="A318" t="n">
        <v>16</v>
      </c>
      <c r="B318" t="n">
        <v>17</v>
      </c>
    </row>
    <row r="319">
      <c r="A319" t="n">
        <v>16</v>
      </c>
      <c r="B319" t="n">
        <v>18</v>
      </c>
    </row>
    <row r="320">
      <c r="A320" t="n">
        <v>16</v>
      </c>
      <c r="B320" t="n">
        <v>19</v>
      </c>
    </row>
    <row r="321">
      <c r="A321" t="n">
        <v>16</v>
      </c>
      <c r="B321" t="n">
        <v>20</v>
      </c>
    </row>
    <row r="322">
      <c r="A322" t="n">
        <v>17</v>
      </c>
      <c r="B322" t="n">
        <v>1</v>
      </c>
      <c r="C322" t="n">
        <v>4800</v>
      </c>
      <c r="D322" t="n">
        <v>10.21</v>
      </c>
      <c r="E322" t="n">
        <v>10.26</v>
      </c>
      <c r="F322" t="n">
        <v>4800</v>
      </c>
    </row>
    <row r="323">
      <c r="A323" t="n">
        <v>17</v>
      </c>
      <c r="B323" t="n">
        <v>2</v>
      </c>
      <c r="C323" t="n">
        <v>1200</v>
      </c>
      <c r="D323" t="n">
        <v>10.2</v>
      </c>
      <c r="E323" t="n">
        <v>10.27</v>
      </c>
      <c r="F323" t="n">
        <v>2400</v>
      </c>
    </row>
    <row r="324">
      <c r="A324" t="n">
        <v>17</v>
      </c>
      <c r="B324" t="n">
        <v>3</v>
      </c>
      <c r="C324" t="n">
        <v>3600</v>
      </c>
      <c r="D324" t="n">
        <v>10.19</v>
      </c>
      <c r="E324" t="n">
        <v>10.28</v>
      </c>
      <c r="F324" t="n">
        <v>3600</v>
      </c>
    </row>
    <row r="325">
      <c r="A325" t="n">
        <v>17</v>
      </c>
      <c r="B325" t="n">
        <v>4</v>
      </c>
      <c r="C325" t="n">
        <v>2400</v>
      </c>
      <c r="D325" t="n">
        <v>10.15</v>
      </c>
      <c r="E325" t="n">
        <v>10.32</v>
      </c>
      <c r="F325" t="n">
        <v>3600</v>
      </c>
    </row>
    <row r="326">
      <c r="A326" t="n">
        <v>17</v>
      </c>
      <c r="B326" t="n">
        <v>5</v>
      </c>
      <c r="C326" t="n">
        <v>2400</v>
      </c>
      <c r="D326" t="n">
        <v>10.13</v>
      </c>
      <c r="E326" t="n">
        <v>10.34</v>
      </c>
      <c r="F326" t="n">
        <v>4800</v>
      </c>
    </row>
    <row r="327">
      <c r="A327" t="n">
        <v>17</v>
      </c>
      <c r="B327" t="n">
        <v>6</v>
      </c>
      <c r="C327" t="n">
        <v>1200</v>
      </c>
      <c r="D327" t="n">
        <v>10.11</v>
      </c>
      <c r="E327" t="n">
        <v>10.36</v>
      </c>
      <c r="F327" t="n">
        <v>3600</v>
      </c>
    </row>
    <row r="328">
      <c r="A328" t="n">
        <v>17</v>
      </c>
      <c r="B328" t="n">
        <v>7</v>
      </c>
      <c r="C328" t="n">
        <v>1200</v>
      </c>
      <c r="D328" t="n">
        <v>10.03</v>
      </c>
      <c r="E328" t="n">
        <v>10.44</v>
      </c>
      <c r="F328" t="n">
        <v>2400</v>
      </c>
    </row>
    <row r="329">
      <c r="A329" t="n">
        <v>17</v>
      </c>
      <c r="B329" t="n">
        <v>8</v>
      </c>
      <c r="C329" t="n">
        <v>2400</v>
      </c>
      <c r="D329" t="n">
        <v>10</v>
      </c>
      <c r="E329" t="n">
        <v>10.47</v>
      </c>
      <c r="F329" t="n">
        <v>2400</v>
      </c>
    </row>
    <row r="330">
      <c r="A330" t="n">
        <v>17</v>
      </c>
      <c r="B330" t="n">
        <v>9</v>
      </c>
      <c r="C330" t="n">
        <v>1200</v>
      </c>
      <c r="D330" t="n">
        <v>9.970000000000001</v>
      </c>
      <c r="E330" t="n">
        <v>10.5</v>
      </c>
      <c r="F330" t="n">
        <v>2400</v>
      </c>
    </row>
    <row r="331">
      <c r="A331" t="n">
        <v>17</v>
      </c>
      <c r="B331" t="n">
        <v>10</v>
      </c>
      <c r="C331" t="n">
        <v>3600</v>
      </c>
      <c r="D331" t="n">
        <v>9.85</v>
      </c>
      <c r="E331" t="n">
        <v>10.62</v>
      </c>
      <c r="F331" t="n">
        <v>1200</v>
      </c>
    </row>
    <row r="332">
      <c r="A332" t="n">
        <v>17</v>
      </c>
      <c r="B332" t="n">
        <v>11</v>
      </c>
    </row>
    <row r="333">
      <c r="A333" t="n">
        <v>17</v>
      </c>
      <c r="B333" t="n">
        <v>12</v>
      </c>
    </row>
    <row r="334">
      <c r="A334" t="n">
        <v>17</v>
      </c>
      <c r="B334" t="n">
        <v>13</v>
      </c>
    </row>
    <row r="335">
      <c r="A335" t="n">
        <v>17</v>
      </c>
      <c r="B335" t="n">
        <v>14</v>
      </c>
    </row>
    <row r="336">
      <c r="A336" t="n">
        <v>17</v>
      </c>
      <c r="B336" t="n">
        <v>15</v>
      </c>
    </row>
    <row r="337">
      <c r="A337" t="n">
        <v>17</v>
      </c>
      <c r="B337" t="n">
        <v>16</v>
      </c>
    </row>
    <row r="338">
      <c r="A338" t="n">
        <v>17</v>
      </c>
      <c r="B338" t="n">
        <v>17</v>
      </c>
    </row>
    <row r="339">
      <c r="A339" t="n">
        <v>17</v>
      </c>
      <c r="B339" t="n">
        <v>18</v>
      </c>
    </row>
    <row r="340">
      <c r="A340" t="n">
        <v>17</v>
      </c>
      <c r="B340" t="n">
        <v>19</v>
      </c>
    </row>
    <row r="341">
      <c r="A341" t="n">
        <v>17</v>
      </c>
      <c r="B341" t="n">
        <v>20</v>
      </c>
    </row>
    <row r="342">
      <c r="A342" t="n">
        <v>18</v>
      </c>
      <c r="B342" t="n">
        <v>1</v>
      </c>
      <c r="C342" t="n">
        <v>6000</v>
      </c>
      <c r="D342" t="n">
        <v>25.5</v>
      </c>
      <c r="E342" t="n">
        <v>25.55</v>
      </c>
      <c r="F342" t="n">
        <v>12000</v>
      </c>
    </row>
    <row r="343">
      <c r="A343" t="n">
        <v>18</v>
      </c>
      <c r="B343" t="n">
        <v>2</v>
      </c>
      <c r="C343" t="n">
        <v>12000</v>
      </c>
      <c r="D343" t="n">
        <v>25.49</v>
      </c>
      <c r="E343" t="n">
        <v>25.56</v>
      </c>
      <c r="F343" t="n">
        <v>9000</v>
      </c>
    </row>
    <row r="344">
      <c r="A344" t="n">
        <v>18</v>
      </c>
      <c r="B344" t="n">
        <v>3</v>
      </c>
      <c r="C344" t="n">
        <v>6000</v>
      </c>
      <c r="D344" t="n">
        <v>25.48</v>
      </c>
      <c r="E344" t="n">
        <v>25.57</v>
      </c>
      <c r="F344" t="n">
        <v>6000</v>
      </c>
    </row>
    <row r="345">
      <c r="A345" t="n">
        <v>18</v>
      </c>
      <c r="B345" t="n">
        <v>4</v>
      </c>
      <c r="C345" t="n">
        <v>6000</v>
      </c>
      <c r="D345" t="n">
        <v>25.44</v>
      </c>
      <c r="E345" t="n">
        <v>25.61</v>
      </c>
      <c r="F345" t="n">
        <v>3000</v>
      </c>
    </row>
    <row r="346">
      <c r="A346" t="n">
        <v>18</v>
      </c>
      <c r="B346" t="n">
        <v>5</v>
      </c>
      <c r="C346" t="n">
        <v>9000</v>
      </c>
      <c r="D346" t="n">
        <v>25.42</v>
      </c>
      <c r="E346" t="n">
        <v>25.63</v>
      </c>
      <c r="F346" t="n">
        <v>12000</v>
      </c>
    </row>
    <row r="347">
      <c r="A347" t="n">
        <v>18</v>
      </c>
      <c r="B347" t="n">
        <v>6</v>
      </c>
      <c r="C347" t="n">
        <v>3000</v>
      </c>
      <c r="D347" t="n">
        <v>25.4</v>
      </c>
      <c r="E347" t="n">
        <v>25.65</v>
      </c>
      <c r="F347" t="n">
        <v>3000</v>
      </c>
    </row>
    <row r="348">
      <c r="A348" t="n">
        <v>18</v>
      </c>
      <c r="B348" t="n">
        <v>7</v>
      </c>
      <c r="C348" t="n">
        <v>6000</v>
      </c>
      <c r="D348" t="n">
        <v>25.32</v>
      </c>
      <c r="E348" t="n">
        <v>25.73</v>
      </c>
      <c r="F348" t="n">
        <v>9000</v>
      </c>
    </row>
    <row r="349">
      <c r="A349" t="n">
        <v>18</v>
      </c>
      <c r="B349" t="n">
        <v>8</v>
      </c>
      <c r="C349" t="n">
        <v>12000</v>
      </c>
      <c r="D349" t="n">
        <v>25.29</v>
      </c>
      <c r="E349" t="n">
        <v>25.76</v>
      </c>
      <c r="F349" t="n">
        <v>9000</v>
      </c>
    </row>
    <row r="350">
      <c r="A350" t="n">
        <v>18</v>
      </c>
      <c r="B350" t="n">
        <v>9</v>
      </c>
      <c r="C350" t="n">
        <v>3000</v>
      </c>
      <c r="D350" t="n">
        <v>25.26</v>
      </c>
      <c r="E350" t="n">
        <v>25.79</v>
      </c>
      <c r="F350" t="n">
        <v>12000</v>
      </c>
    </row>
    <row r="351">
      <c r="A351" t="n">
        <v>18</v>
      </c>
      <c r="B351" t="n">
        <v>10</v>
      </c>
      <c r="C351" t="n">
        <v>6000</v>
      </c>
      <c r="D351" t="n">
        <v>25.14</v>
      </c>
      <c r="E351" t="n">
        <v>25.91</v>
      </c>
      <c r="F351" t="n">
        <v>3000</v>
      </c>
    </row>
    <row r="352">
      <c r="A352" t="n">
        <v>18</v>
      </c>
      <c r="B352" t="n">
        <v>11</v>
      </c>
    </row>
    <row r="353">
      <c r="A353" t="n">
        <v>18</v>
      </c>
      <c r="B353" t="n">
        <v>12</v>
      </c>
    </row>
    <row r="354">
      <c r="A354" t="n">
        <v>18</v>
      </c>
      <c r="B354" t="n">
        <v>13</v>
      </c>
    </row>
    <row r="355">
      <c r="A355" t="n">
        <v>18</v>
      </c>
      <c r="B355" t="n">
        <v>14</v>
      </c>
    </row>
    <row r="356">
      <c r="A356" t="n">
        <v>18</v>
      </c>
      <c r="B356" t="n">
        <v>15</v>
      </c>
    </row>
    <row r="357">
      <c r="A357" t="n">
        <v>18</v>
      </c>
      <c r="B357" t="n">
        <v>16</v>
      </c>
    </row>
    <row r="358">
      <c r="A358" t="n">
        <v>18</v>
      </c>
      <c r="B358" t="n">
        <v>17</v>
      </c>
    </row>
    <row r="359">
      <c r="A359" t="n">
        <v>18</v>
      </c>
      <c r="B359" t="n">
        <v>18</v>
      </c>
    </row>
    <row r="360">
      <c r="A360" t="n">
        <v>18</v>
      </c>
      <c r="B360" t="n">
        <v>19</v>
      </c>
    </row>
    <row r="361">
      <c r="A361" t="n">
        <v>18</v>
      </c>
      <c r="B361" t="n">
        <v>20</v>
      </c>
    </row>
    <row r="362">
      <c r="A362" t="n">
        <v>19</v>
      </c>
      <c r="B362" t="n">
        <v>1</v>
      </c>
      <c r="C362" t="n">
        <v>3200</v>
      </c>
      <c r="D362" t="n">
        <v>19.87</v>
      </c>
      <c r="E362" t="n">
        <v>19.92</v>
      </c>
      <c r="F362" t="n">
        <v>2400</v>
      </c>
    </row>
    <row r="363">
      <c r="A363" t="n">
        <v>19</v>
      </c>
      <c r="B363" t="n">
        <v>2</v>
      </c>
      <c r="C363" t="n">
        <v>2400</v>
      </c>
      <c r="D363" t="n">
        <v>19.86</v>
      </c>
      <c r="E363" t="n">
        <v>19.93</v>
      </c>
      <c r="F363" t="n">
        <v>3200</v>
      </c>
    </row>
    <row r="364">
      <c r="A364" t="n">
        <v>19</v>
      </c>
      <c r="B364" t="n">
        <v>3</v>
      </c>
      <c r="C364" t="n">
        <v>3200</v>
      </c>
      <c r="D364" t="n">
        <v>19.85</v>
      </c>
      <c r="E364" t="n">
        <v>19.94</v>
      </c>
      <c r="F364" t="n">
        <v>1600</v>
      </c>
    </row>
    <row r="365">
      <c r="A365" t="n">
        <v>19</v>
      </c>
      <c r="B365" t="n">
        <v>4</v>
      </c>
      <c r="C365" t="n">
        <v>800</v>
      </c>
      <c r="D365" t="n">
        <v>19.81</v>
      </c>
      <c r="E365" t="n">
        <v>19.98</v>
      </c>
      <c r="F365" t="n">
        <v>3200</v>
      </c>
    </row>
    <row r="366">
      <c r="A366" t="n">
        <v>19</v>
      </c>
      <c r="B366" t="n">
        <v>5</v>
      </c>
      <c r="C366" t="n">
        <v>3200</v>
      </c>
      <c r="D366" t="n">
        <v>19.79</v>
      </c>
      <c r="E366" t="n">
        <v>20</v>
      </c>
      <c r="F366" t="n">
        <v>3200</v>
      </c>
    </row>
    <row r="367">
      <c r="A367" t="n">
        <v>19</v>
      </c>
      <c r="B367" t="n">
        <v>6</v>
      </c>
      <c r="C367" t="n">
        <v>800</v>
      </c>
      <c r="D367" t="n">
        <v>19.77</v>
      </c>
      <c r="E367" t="n">
        <v>20.02</v>
      </c>
      <c r="F367" t="n">
        <v>1600</v>
      </c>
    </row>
    <row r="368">
      <c r="A368" t="n">
        <v>19</v>
      </c>
      <c r="B368" t="n">
        <v>7</v>
      </c>
      <c r="C368" t="n">
        <v>3200</v>
      </c>
      <c r="D368" t="n">
        <v>19.69</v>
      </c>
      <c r="E368" t="n">
        <v>20.1</v>
      </c>
      <c r="F368" t="n">
        <v>2400</v>
      </c>
    </row>
    <row r="369">
      <c r="A369" t="n">
        <v>19</v>
      </c>
      <c r="B369" t="n">
        <v>8</v>
      </c>
      <c r="C369" t="n">
        <v>1600</v>
      </c>
      <c r="D369" t="n">
        <v>19.66</v>
      </c>
      <c r="E369" t="n">
        <v>20.13</v>
      </c>
      <c r="F369" t="n">
        <v>800</v>
      </c>
    </row>
    <row r="370">
      <c r="A370" t="n">
        <v>19</v>
      </c>
      <c r="B370" t="n">
        <v>9</v>
      </c>
      <c r="C370" t="n">
        <v>3200</v>
      </c>
      <c r="D370" t="n">
        <v>19.63</v>
      </c>
      <c r="E370" t="n">
        <v>20.16</v>
      </c>
      <c r="F370" t="n">
        <v>2400</v>
      </c>
    </row>
    <row r="371">
      <c r="A371" t="n">
        <v>19</v>
      </c>
      <c r="B371" t="n">
        <v>10</v>
      </c>
      <c r="C371" t="n">
        <v>3200</v>
      </c>
      <c r="D371" t="n">
        <v>19.51</v>
      </c>
      <c r="E371" t="n">
        <v>20.28</v>
      </c>
      <c r="F371" t="n">
        <v>2400</v>
      </c>
    </row>
    <row r="372">
      <c r="A372" t="n">
        <v>19</v>
      </c>
      <c r="B372" t="n">
        <v>11</v>
      </c>
    </row>
    <row r="373">
      <c r="A373" t="n">
        <v>19</v>
      </c>
      <c r="B373" t="n">
        <v>12</v>
      </c>
    </row>
    <row r="374">
      <c r="A374" t="n">
        <v>19</v>
      </c>
      <c r="B374" t="n">
        <v>13</v>
      </c>
    </row>
    <row r="375">
      <c r="A375" t="n">
        <v>19</v>
      </c>
      <c r="B375" t="n">
        <v>14</v>
      </c>
    </row>
    <row r="376">
      <c r="A376" t="n">
        <v>19</v>
      </c>
      <c r="B376" t="n">
        <v>15</v>
      </c>
    </row>
    <row r="377">
      <c r="A377" t="n">
        <v>19</v>
      </c>
      <c r="B377" t="n">
        <v>16</v>
      </c>
    </row>
    <row r="378">
      <c r="A378" t="n">
        <v>19</v>
      </c>
      <c r="B378" t="n">
        <v>17</v>
      </c>
    </row>
    <row r="379">
      <c r="A379" t="n">
        <v>19</v>
      </c>
      <c r="B379" t="n">
        <v>18</v>
      </c>
    </row>
    <row r="380">
      <c r="A380" t="n">
        <v>19</v>
      </c>
      <c r="B380" t="n">
        <v>19</v>
      </c>
    </row>
    <row r="381">
      <c r="A381" t="n">
        <v>19</v>
      </c>
      <c r="B381" t="n">
        <v>20</v>
      </c>
    </row>
    <row r="382">
      <c r="A382" t="n">
        <v>20</v>
      </c>
      <c r="B382" t="n">
        <v>1</v>
      </c>
      <c r="C382" t="n">
        <v>12000</v>
      </c>
      <c r="D382" t="n">
        <v>25.57</v>
      </c>
      <c r="E382" t="n">
        <v>25.62</v>
      </c>
      <c r="F382" t="n">
        <v>3000</v>
      </c>
    </row>
    <row r="383">
      <c r="A383" t="n">
        <v>20</v>
      </c>
      <c r="B383" t="n">
        <v>2</v>
      </c>
      <c r="C383" t="n">
        <v>9000</v>
      </c>
      <c r="D383" t="n">
        <v>25.56</v>
      </c>
      <c r="E383" t="n">
        <v>25.63</v>
      </c>
      <c r="F383" t="n">
        <v>3000</v>
      </c>
    </row>
    <row r="384">
      <c r="A384" t="n">
        <v>20</v>
      </c>
      <c r="B384" t="n">
        <v>3</v>
      </c>
      <c r="C384" t="n">
        <v>9000</v>
      </c>
      <c r="D384" t="n">
        <v>25.55</v>
      </c>
      <c r="E384" t="n">
        <v>25.64</v>
      </c>
      <c r="F384" t="n">
        <v>6000</v>
      </c>
    </row>
    <row r="385">
      <c r="A385" t="n">
        <v>20</v>
      </c>
      <c r="B385" t="n">
        <v>4</v>
      </c>
      <c r="C385" t="n">
        <v>3000</v>
      </c>
      <c r="D385" t="n">
        <v>25.51</v>
      </c>
      <c r="E385" t="n">
        <v>25.68</v>
      </c>
      <c r="F385" t="n">
        <v>3000</v>
      </c>
    </row>
    <row r="386">
      <c r="A386" t="n">
        <v>20</v>
      </c>
      <c r="B386" t="n">
        <v>5</v>
      </c>
      <c r="C386" t="n">
        <v>6000</v>
      </c>
      <c r="D386" t="n">
        <v>25.49</v>
      </c>
      <c r="E386" t="n">
        <v>25.7</v>
      </c>
      <c r="F386" t="n">
        <v>9000</v>
      </c>
    </row>
    <row r="387">
      <c r="A387" t="n">
        <v>20</v>
      </c>
      <c r="B387" t="n">
        <v>6</v>
      </c>
      <c r="C387" t="n">
        <v>6000</v>
      </c>
      <c r="D387" t="n">
        <v>25.47</v>
      </c>
      <c r="E387" t="n">
        <v>25.72</v>
      </c>
      <c r="F387" t="n">
        <v>12000</v>
      </c>
    </row>
    <row r="388">
      <c r="A388" t="n">
        <v>20</v>
      </c>
      <c r="B388" t="n">
        <v>7</v>
      </c>
      <c r="C388" t="n">
        <v>9000</v>
      </c>
      <c r="D388" t="n">
        <v>25.39</v>
      </c>
      <c r="E388" t="n">
        <v>25.8</v>
      </c>
      <c r="F388" t="n">
        <v>3000</v>
      </c>
    </row>
    <row r="389">
      <c r="A389" t="n">
        <v>20</v>
      </c>
      <c r="B389" t="n">
        <v>8</v>
      </c>
      <c r="C389" t="n">
        <v>9000</v>
      </c>
      <c r="D389" t="n">
        <v>25.36</v>
      </c>
      <c r="E389" t="n">
        <v>25.83</v>
      </c>
      <c r="F389" t="n">
        <v>12000</v>
      </c>
    </row>
    <row r="390">
      <c r="A390" t="n">
        <v>20</v>
      </c>
      <c r="B390" t="n">
        <v>9</v>
      </c>
      <c r="C390" t="n">
        <v>9000</v>
      </c>
      <c r="D390" t="n">
        <v>25.33</v>
      </c>
      <c r="E390" t="n">
        <v>25.86</v>
      </c>
      <c r="F390" t="n">
        <v>6000</v>
      </c>
    </row>
    <row r="391">
      <c r="A391" t="n">
        <v>20</v>
      </c>
      <c r="B391" t="n">
        <v>10</v>
      </c>
      <c r="C391" t="n">
        <v>6000</v>
      </c>
      <c r="D391" t="n">
        <v>25.21</v>
      </c>
      <c r="E391" t="n">
        <v>25.98</v>
      </c>
      <c r="F391" t="n">
        <v>6000</v>
      </c>
    </row>
    <row r="392">
      <c r="A392" t="n">
        <v>20</v>
      </c>
      <c r="B392" t="n">
        <v>11</v>
      </c>
    </row>
    <row r="393">
      <c r="A393" t="n">
        <v>20</v>
      </c>
      <c r="B393" t="n">
        <v>12</v>
      </c>
    </row>
    <row r="394">
      <c r="A394" t="n">
        <v>20</v>
      </c>
      <c r="B394" t="n">
        <v>13</v>
      </c>
    </row>
    <row r="395">
      <c r="A395" t="n">
        <v>20</v>
      </c>
      <c r="B395" t="n">
        <v>14</v>
      </c>
    </row>
    <row r="396">
      <c r="A396" t="n">
        <v>20</v>
      </c>
      <c r="B396" t="n">
        <v>15</v>
      </c>
    </row>
    <row r="397">
      <c r="A397" t="n">
        <v>20</v>
      </c>
      <c r="B397" t="n">
        <v>16</v>
      </c>
    </row>
    <row r="398">
      <c r="A398" t="n">
        <v>20</v>
      </c>
      <c r="B398" t="n">
        <v>17</v>
      </c>
    </row>
    <row r="399">
      <c r="A399" t="n">
        <v>20</v>
      </c>
      <c r="B399" t="n">
        <v>18</v>
      </c>
    </row>
    <row r="400">
      <c r="A400" t="n">
        <v>20</v>
      </c>
      <c r="B400" t="n">
        <v>19</v>
      </c>
    </row>
    <row r="401">
      <c r="A401" t="n">
        <v>20</v>
      </c>
      <c r="B401" t="n">
        <v>20</v>
      </c>
    </row>
    <row r="402">
      <c r="A402" t="n">
        <v>21</v>
      </c>
      <c r="B402" t="n">
        <v>1</v>
      </c>
      <c r="C402" t="n">
        <v>3600</v>
      </c>
      <c r="D402" t="n">
        <v>10.38</v>
      </c>
      <c r="E402" t="n">
        <v>10.43</v>
      </c>
      <c r="F402" t="n">
        <v>1200</v>
      </c>
    </row>
    <row r="403">
      <c r="A403" t="n">
        <v>21</v>
      </c>
      <c r="B403" t="n">
        <v>2</v>
      </c>
      <c r="C403" t="n">
        <v>1200</v>
      </c>
      <c r="D403" t="n">
        <v>10.37</v>
      </c>
      <c r="E403" t="n">
        <v>10.44</v>
      </c>
      <c r="F403" t="n">
        <v>3600</v>
      </c>
    </row>
    <row r="404">
      <c r="A404" t="n">
        <v>21</v>
      </c>
      <c r="B404" t="n">
        <v>3</v>
      </c>
      <c r="C404" t="n">
        <v>4800</v>
      </c>
      <c r="D404" t="n">
        <v>10.36</v>
      </c>
      <c r="E404" t="n">
        <v>10.45</v>
      </c>
      <c r="F404" t="n">
        <v>3600</v>
      </c>
    </row>
    <row r="405">
      <c r="A405" t="n">
        <v>21</v>
      </c>
      <c r="B405" t="n">
        <v>4</v>
      </c>
      <c r="C405" t="n">
        <v>3600</v>
      </c>
      <c r="D405" t="n">
        <v>10.32</v>
      </c>
      <c r="E405" t="n">
        <v>10.49</v>
      </c>
      <c r="F405" t="n">
        <v>1200</v>
      </c>
    </row>
    <row r="406">
      <c r="A406" t="n">
        <v>21</v>
      </c>
      <c r="B406" t="n">
        <v>5</v>
      </c>
      <c r="C406" t="n">
        <v>4800</v>
      </c>
      <c r="D406" t="n">
        <v>10.3</v>
      </c>
      <c r="E406" t="n">
        <v>10.51</v>
      </c>
      <c r="F406" t="n">
        <v>3600</v>
      </c>
    </row>
    <row r="407">
      <c r="A407" t="n">
        <v>21</v>
      </c>
      <c r="B407" t="n">
        <v>6</v>
      </c>
      <c r="C407" t="n">
        <v>3600</v>
      </c>
      <c r="D407" t="n">
        <v>10.28</v>
      </c>
      <c r="E407" t="n">
        <v>10.53</v>
      </c>
      <c r="F407" t="n">
        <v>4800</v>
      </c>
    </row>
    <row r="408">
      <c r="A408" t="n">
        <v>21</v>
      </c>
      <c r="B408" t="n">
        <v>7</v>
      </c>
      <c r="C408" t="n">
        <v>4800</v>
      </c>
      <c r="D408" t="n">
        <v>10.2</v>
      </c>
      <c r="E408" t="n">
        <v>10.61</v>
      </c>
      <c r="F408" t="n">
        <v>2400</v>
      </c>
    </row>
    <row r="409">
      <c r="A409" t="n">
        <v>21</v>
      </c>
      <c r="B409" t="n">
        <v>8</v>
      </c>
      <c r="C409" t="n">
        <v>4800</v>
      </c>
      <c r="D409" t="n">
        <v>10.17</v>
      </c>
      <c r="E409" t="n">
        <v>10.64</v>
      </c>
      <c r="F409" t="n">
        <v>2400</v>
      </c>
    </row>
    <row r="410">
      <c r="A410" t="n">
        <v>21</v>
      </c>
      <c r="B410" t="n">
        <v>9</v>
      </c>
      <c r="C410" t="n">
        <v>4800</v>
      </c>
      <c r="D410" t="n">
        <v>10.14</v>
      </c>
      <c r="E410" t="n">
        <v>10.67</v>
      </c>
      <c r="F410" t="n">
        <v>4800</v>
      </c>
    </row>
    <row r="411">
      <c r="A411" t="n">
        <v>21</v>
      </c>
      <c r="B411" t="n">
        <v>10</v>
      </c>
      <c r="C411" t="n">
        <v>4800</v>
      </c>
      <c r="D411" t="n">
        <v>10.02</v>
      </c>
      <c r="E411" t="n">
        <v>10.79</v>
      </c>
      <c r="F411" t="n">
        <v>1200</v>
      </c>
    </row>
    <row r="412">
      <c r="A412" t="n">
        <v>21</v>
      </c>
      <c r="B412" t="n">
        <v>11</v>
      </c>
    </row>
    <row r="413">
      <c r="A413" t="n">
        <v>21</v>
      </c>
      <c r="B413" t="n">
        <v>12</v>
      </c>
    </row>
    <row r="414">
      <c r="A414" t="n">
        <v>21</v>
      </c>
      <c r="B414" t="n">
        <v>13</v>
      </c>
    </row>
    <row r="415">
      <c r="A415" t="n">
        <v>21</v>
      </c>
      <c r="B415" t="n">
        <v>14</v>
      </c>
    </row>
    <row r="416">
      <c r="A416" t="n">
        <v>21</v>
      </c>
      <c r="B416" t="n">
        <v>15</v>
      </c>
    </row>
    <row r="417">
      <c r="A417" t="n">
        <v>21</v>
      </c>
      <c r="B417" t="n">
        <v>16</v>
      </c>
    </row>
    <row r="418">
      <c r="A418" t="n">
        <v>21</v>
      </c>
      <c r="B418" t="n">
        <v>17</v>
      </c>
    </row>
    <row r="419">
      <c r="A419" t="n">
        <v>21</v>
      </c>
      <c r="B419" t="n">
        <v>18</v>
      </c>
    </row>
    <row r="420">
      <c r="A420" t="n">
        <v>21</v>
      </c>
      <c r="B420" t="n">
        <v>19</v>
      </c>
    </row>
    <row r="421">
      <c r="A421" t="n">
        <v>21</v>
      </c>
      <c r="B421" t="n">
        <v>20</v>
      </c>
    </row>
    <row r="422">
      <c r="A422" t="n">
        <v>22</v>
      </c>
      <c r="B422" t="n">
        <v>1</v>
      </c>
      <c r="C422" t="n">
        <v>2400</v>
      </c>
      <c r="D422" t="n">
        <v>10.4</v>
      </c>
      <c r="E422" t="n">
        <v>10.45</v>
      </c>
      <c r="F422" t="n">
        <v>2400</v>
      </c>
    </row>
    <row r="423">
      <c r="A423" t="n">
        <v>22</v>
      </c>
      <c r="B423" t="n">
        <v>2</v>
      </c>
      <c r="C423" t="n">
        <v>2400</v>
      </c>
      <c r="D423" t="n">
        <v>10.39</v>
      </c>
      <c r="E423" t="n">
        <v>10.46</v>
      </c>
      <c r="F423" t="n">
        <v>3600</v>
      </c>
    </row>
    <row r="424">
      <c r="A424" t="n">
        <v>22</v>
      </c>
      <c r="B424" t="n">
        <v>3</v>
      </c>
      <c r="C424" t="n">
        <v>4800</v>
      </c>
      <c r="D424" t="n">
        <v>10.38</v>
      </c>
      <c r="E424" t="n">
        <v>10.47</v>
      </c>
      <c r="F424" t="n">
        <v>2400</v>
      </c>
    </row>
    <row r="425">
      <c r="A425" t="n">
        <v>22</v>
      </c>
      <c r="B425" t="n">
        <v>4</v>
      </c>
      <c r="C425" t="n">
        <v>3600</v>
      </c>
      <c r="D425" t="n">
        <v>10.34</v>
      </c>
      <c r="E425" t="n">
        <v>10.51</v>
      </c>
      <c r="F425" t="n">
        <v>1200</v>
      </c>
    </row>
    <row r="426">
      <c r="A426" t="n">
        <v>22</v>
      </c>
      <c r="B426" t="n">
        <v>5</v>
      </c>
      <c r="C426" t="n">
        <v>3600</v>
      </c>
      <c r="D426" t="n">
        <v>10.32</v>
      </c>
      <c r="E426" t="n">
        <v>10.53</v>
      </c>
      <c r="F426" t="n">
        <v>3600</v>
      </c>
    </row>
    <row r="427">
      <c r="A427" t="n">
        <v>22</v>
      </c>
      <c r="B427" t="n">
        <v>6</v>
      </c>
      <c r="C427" t="n">
        <v>2400</v>
      </c>
      <c r="D427" t="n">
        <v>10.3</v>
      </c>
      <c r="E427" t="n">
        <v>10.55</v>
      </c>
      <c r="F427" t="n">
        <v>4800</v>
      </c>
    </row>
    <row r="428">
      <c r="A428" t="n">
        <v>22</v>
      </c>
      <c r="B428" t="n">
        <v>7</v>
      </c>
      <c r="C428" t="n">
        <v>3600</v>
      </c>
      <c r="D428" t="n">
        <v>10.22</v>
      </c>
      <c r="E428" t="n">
        <v>10.63</v>
      </c>
      <c r="F428" t="n">
        <v>4800</v>
      </c>
    </row>
    <row r="429">
      <c r="A429" t="n">
        <v>22</v>
      </c>
      <c r="B429" t="n">
        <v>8</v>
      </c>
      <c r="C429" t="n">
        <v>1200</v>
      </c>
      <c r="D429" t="n">
        <v>10.19</v>
      </c>
      <c r="E429" t="n">
        <v>10.66</v>
      </c>
      <c r="F429" t="n">
        <v>2400</v>
      </c>
    </row>
    <row r="430">
      <c r="A430" t="n">
        <v>22</v>
      </c>
      <c r="B430" t="n">
        <v>9</v>
      </c>
      <c r="C430" t="n">
        <v>2400</v>
      </c>
      <c r="D430" t="n">
        <v>10.16</v>
      </c>
      <c r="E430" t="n">
        <v>10.69</v>
      </c>
      <c r="F430" t="n">
        <v>4800</v>
      </c>
    </row>
    <row r="431">
      <c r="A431" t="n">
        <v>22</v>
      </c>
      <c r="B431" t="n">
        <v>10</v>
      </c>
      <c r="C431" t="n">
        <v>1200</v>
      </c>
      <c r="D431" t="n">
        <v>10.04</v>
      </c>
      <c r="E431" t="n">
        <v>10.81</v>
      </c>
      <c r="F431" t="n">
        <v>3600</v>
      </c>
    </row>
    <row r="432">
      <c r="A432" t="n">
        <v>22</v>
      </c>
      <c r="B432" t="n">
        <v>11</v>
      </c>
    </row>
    <row r="433">
      <c r="A433" t="n">
        <v>22</v>
      </c>
      <c r="B433" t="n">
        <v>12</v>
      </c>
    </row>
    <row r="434">
      <c r="A434" t="n">
        <v>22</v>
      </c>
      <c r="B434" t="n">
        <v>13</v>
      </c>
    </row>
    <row r="435">
      <c r="A435" t="n">
        <v>22</v>
      </c>
      <c r="B435" t="n">
        <v>14</v>
      </c>
    </row>
    <row r="436">
      <c r="A436" t="n">
        <v>22</v>
      </c>
      <c r="B436" t="n">
        <v>15</v>
      </c>
    </row>
    <row r="437">
      <c r="A437" t="n">
        <v>22</v>
      </c>
      <c r="B437" t="n">
        <v>16</v>
      </c>
    </row>
    <row r="438">
      <c r="A438" t="n">
        <v>22</v>
      </c>
      <c r="B438" t="n">
        <v>17</v>
      </c>
    </row>
    <row r="439">
      <c r="A439" t="n">
        <v>22</v>
      </c>
      <c r="B439" t="n">
        <v>18</v>
      </c>
    </row>
    <row r="440">
      <c r="A440" t="n">
        <v>22</v>
      </c>
      <c r="B440" t="n">
        <v>19</v>
      </c>
    </row>
    <row r="441">
      <c r="A441" t="n">
        <v>22</v>
      </c>
      <c r="B441" t="n">
        <v>20</v>
      </c>
    </row>
    <row r="442">
      <c r="A442" t="n">
        <v>23</v>
      </c>
      <c r="B442" t="n">
        <v>1</v>
      </c>
      <c r="C442" t="n">
        <v>6400</v>
      </c>
      <c r="D442" t="n">
        <v>20.08</v>
      </c>
      <c r="E442" t="n">
        <v>20.13</v>
      </c>
      <c r="F442" t="n">
        <v>12800</v>
      </c>
    </row>
    <row r="443">
      <c r="A443" t="n">
        <v>23</v>
      </c>
      <c r="B443" t="n">
        <v>2</v>
      </c>
      <c r="C443" t="n">
        <v>9600</v>
      </c>
      <c r="D443" t="n">
        <v>20.07</v>
      </c>
      <c r="E443" t="n">
        <v>20.14</v>
      </c>
      <c r="F443" t="n">
        <v>6400</v>
      </c>
    </row>
    <row r="444">
      <c r="A444" t="n">
        <v>23</v>
      </c>
      <c r="B444" t="n">
        <v>3</v>
      </c>
      <c r="C444" t="n">
        <v>6400</v>
      </c>
      <c r="D444" t="n">
        <v>20.06</v>
      </c>
      <c r="E444" t="n">
        <v>20.15</v>
      </c>
      <c r="F444" t="n">
        <v>9600</v>
      </c>
    </row>
    <row r="445">
      <c r="A445" t="n">
        <v>23</v>
      </c>
      <c r="B445" t="n">
        <v>4</v>
      </c>
      <c r="C445" t="n">
        <v>6400</v>
      </c>
      <c r="D445" t="n">
        <v>20.02</v>
      </c>
      <c r="E445" t="n">
        <v>20.19</v>
      </c>
      <c r="F445" t="n">
        <v>9600</v>
      </c>
    </row>
    <row r="446">
      <c r="A446" t="n">
        <v>23</v>
      </c>
      <c r="B446" t="n">
        <v>5</v>
      </c>
      <c r="C446" t="n">
        <v>6400</v>
      </c>
      <c r="D446" t="n">
        <v>20</v>
      </c>
      <c r="E446" t="n">
        <v>20.21</v>
      </c>
      <c r="F446" t="n">
        <v>9600</v>
      </c>
    </row>
    <row r="447">
      <c r="A447" t="n">
        <v>23</v>
      </c>
      <c r="B447" t="n">
        <v>6</v>
      </c>
      <c r="C447" t="n">
        <v>9600</v>
      </c>
      <c r="D447" t="n">
        <v>19.98</v>
      </c>
      <c r="E447" t="n">
        <v>20.23</v>
      </c>
      <c r="F447" t="n">
        <v>3200</v>
      </c>
    </row>
    <row r="448">
      <c r="A448" t="n">
        <v>23</v>
      </c>
      <c r="B448" t="n">
        <v>7</v>
      </c>
      <c r="C448" t="n">
        <v>6400</v>
      </c>
      <c r="D448" t="n">
        <v>19.9</v>
      </c>
      <c r="E448" t="n">
        <v>20.31</v>
      </c>
      <c r="F448" t="n">
        <v>9600</v>
      </c>
    </row>
    <row r="449">
      <c r="A449" t="n">
        <v>23</v>
      </c>
      <c r="B449" t="n">
        <v>8</v>
      </c>
      <c r="C449" t="n">
        <v>12800</v>
      </c>
      <c r="D449" t="n">
        <v>19.87</v>
      </c>
      <c r="E449" t="n">
        <v>20.34</v>
      </c>
      <c r="F449" t="n">
        <v>3200</v>
      </c>
    </row>
    <row r="450">
      <c r="A450" t="n">
        <v>23</v>
      </c>
      <c r="B450" t="n">
        <v>9</v>
      </c>
      <c r="C450" t="n">
        <v>3200</v>
      </c>
      <c r="D450" t="n">
        <v>19.84</v>
      </c>
      <c r="E450" t="n">
        <v>20.37</v>
      </c>
      <c r="F450" t="n">
        <v>9600</v>
      </c>
    </row>
    <row r="451">
      <c r="A451" t="n">
        <v>23</v>
      </c>
      <c r="B451" t="n">
        <v>10</v>
      </c>
      <c r="C451" t="n">
        <v>6400</v>
      </c>
      <c r="D451" t="n">
        <v>19.72</v>
      </c>
      <c r="E451" t="n">
        <v>20.49</v>
      </c>
      <c r="F451" t="n">
        <v>3200</v>
      </c>
    </row>
    <row r="452">
      <c r="A452" t="n">
        <v>23</v>
      </c>
      <c r="B452" t="n">
        <v>11</v>
      </c>
    </row>
    <row r="453">
      <c r="A453" t="n">
        <v>23</v>
      </c>
      <c r="B453" t="n">
        <v>12</v>
      </c>
    </row>
    <row r="454">
      <c r="A454" t="n">
        <v>23</v>
      </c>
      <c r="B454" t="n">
        <v>13</v>
      </c>
    </row>
    <row r="455">
      <c r="A455" t="n">
        <v>23</v>
      </c>
      <c r="B455" t="n">
        <v>14</v>
      </c>
    </row>
    <row r="456">
      <c r="A456" t="n">
        <v>23</v>
      </c>
      <c r="B456" t="n">
        <v>15</v>
      </c>
    </row>
    <row r="457">
      <c r="A457" t="n">
        <v>23</v>
      </c>
      <c r="B457" t="n">
        <v>16</v>
      </c>
    </row>
    <row r="458">
      <c r="A458" t="n">
        <v>23</v>
      </c>
      <c r="B458" t="n">
        <v>17</v>
      </c>
    </row>
    <row r="459">
      <c r="A459" t="n">
        <v>23</v>
      </c>
      <c r="B459" t="n">
        <v>18</v>
      </c>
    </row>
    <row r="460">
      <c r="A460" t="n">
        <v>23</v>
      </c>
      <c r="B460" t="n">
        <v>19</v>
      </c>
    </row>
    <row r="461">
      <c r="A461" t="n">
        <v>23</v>
      </c>
      <c r="B461" t="n">
        <v>20</v>
      </c>
    </row>
    <row r="462">
      <c r="A462" t="n">
        <v>24</v>
      </c>
      <c r="B462" t="n">
        <v>1</v>
      </c>
      <c r="C462" t="n">
        <v>4800</v>
      </c>
      <c r="D462" t="n">
        <v>10.42</v>
      </c>
      <c r="E462" t="n">
        <v>10.47</v>
      </c>
      <c r="F462" t="n">
        <v>2400</v>
      </c>
    </row>
    <row r="463">
      <c r="A463" t="n">
        <v>24</v>
      </c>
      <c r="B463" t="n">
        <v>2</v>
      </c>
      <c r="C463" t="n">
        <v>4800</v>
      </c>
      <c r="D463" t="n">
        <v>10.41</v>
      </c>
      <c r="E463" t="n">
        <v>10.48</v>
      </c>
      <c r="F463" t="n">
        <v>3600</v>
      </c>
    </row>
    <row r="464">
      <c r="A464" t="n">
        <v>24</v>
      </c>
      <c r="B464" t="n">
        <v>3</v>
      </c>
      <c r="C464" t="n">
        <v>3600</v>
      </c>
      <c r="D464" t="n">
        <v>10.4</v>
      </c>
      <c r="E464" t="n">
        <v>10.49</v>
      </c>
      <c r="F464" t="n">
        <v>3600</v>
      </c>
    </row>
    <row r="465">
      <c r="A465" t="n">
        <v>24</v>
      </c>
      <c r="B465" t="n">
        <v>4</v>
      </c>
      <c r="C465" t="n">
        <v>4800</v>
      </c>
      <c r="D465" t="n">
        <v>10.36</v>
      </c>
      <c r="E465" t="n">
        <v>10.53</v>
      </c>
      <c r="F465" t="n">
        <v>2400</v>
      </c>
    </row>
    <row r="466">
      <c r="A466" t="n">
        <v>24</v>
      </c>
      <c r="B466" t="n">
        <v>5</v>
      </c>
      <c r="C466" t="n">
        <v>2400</v>
      </c>
      <c r="D466" t="n">
        <v>10.34</v>
      </c>
      <c r="E466" t="n">
        <v>10.55</v>
      </c>
      <c r="F466" t="n">
        <v>1200</v>
      </c>
    </row>
    <row r="467">
      <c r="A467" t="n">
        <v>24</v>
      </c>
      <c r="B467" t="n">
        <v>6</v>
      </c>
      <c r="C467" t="n">
        <v>3600</v>
      </c>
      <c r="D467" t="n">
        <v>10.32</v>
      </c>
      <c r="E467" t="n">
        <v>10.57</v>
      </c>
      <c r="F467" t="n">
        <v>2400</v>
      </c>
    </row>
    <row r="468">
      <c r="A468" t="n">
        <v>24</v>
      </c>
      <c r="B468" t="n">
        <v>7</v>
      </c>
      <c r="C468" t="n">
        <v>1200</v>
      </c>
      <c r="D468" t="n">
        <v>10.24</v>
      </c>
      <c r="E468" t="n">
        <v>10.65</v>
      </c>
      <c r="F468" t="n">
        <v>4800</v>
      </c>
    </row>
    <row r="469">
      <c r="A469" t="n">
        <v>24</v>
      </c>
      <c r="B469" t="n">
        <v>8</v>
      </c>
      <c r="C469" t="n">
        <v>3600</v>
      </c>
      <c r="D469" t="n">
        <v>10.21</v>
      </c>
      <c r="E469" t="n">
        <v>10.68</v>
      </c>
      <c r="F469" t="n">
        <v>2400</v>
      </c>
    </row>
    <row r="470">
      <c r="A470" t="n">
        <v>24</v>
      </c>
      <c r="B470" t="n">
        <v>9</v>
      </c>
      <c r="C470" t="n">
        <v>2400</v>
      </c>
      <c r="D470" t="n">
        <v>10.18</v>
      </c>
      <c r="E470" t="n">
        <v>10.71</v>
      </c>
      <c r="F470" t="n">
        <v>3600</v>
      </c>
    </row>
    <row r="471">
      <c r="A471" t="n">
        <v>24</v>
      </c>
      <c r="B471" t="n">
        <v>10</v>
      </c>
      <c r="C471" t="n">
        <v>1200</v>
      </c>
      <c r="D471" t="n">
        <v>10.06</v>
      </c>
      <c r="E471" t="n">
        <v>10.83</v>
      </c>
      <c r="F471" t="n">
        <v>2400</v>
      </c>
    </row>
    <row r="472">
      <c r="A472" t="n">
        <v>24</v>
      </c>
      <c r="B472" t="n">
        <v>11</v>
      </c>
    </row>
    <row r="473">
      <c r="A473" t="n">
        <v>24</v>
      </c>
      <c r="B473" t="n">
        <v>12</v>
      </c>
    </row>
    <row r="474">
      <c r="A474" t="n">
        <v>24</v>
      </c>
      <c r="B474" t="n">
        <v>13</v>
      </c>
    </row>
    <row r="475">
      <c r="A475" t="n">
        <v>24</v>
      </c>
      <c r="B475" t="n">
        <v>14</v>
      </c>
    </row>
    <row r="476">
      <c r="A476" t="n">
        <v>24</v>
      </c>
      <c r="B476" t="n">
        <v>15</v>
      </c>
    </row>
    <row r="477">
      <c r="A477" t="n">
        <v>24</v>
      </c>
      <c r="B477" t="n">
        <v>16</v>
      </c>
    </row>
    <row r="478">
      <c r="A478" t="n">
        <v>24</v>
      </c>
      <c r="B478" t="n">
        <v>17</v>
      </c>
    </row>
    <row r="479">
      <c r="A479" t="n">
        <v>24</v>
      </c>
      <c r="B479" t="n">
        <v>18</v>
      </c>
    </row>
    <row r="480">
      <c r="A480" t="n">
        <v>24</v>
      </c>
      <c r="B480" t="n">
        <v>19</v>
      </c>
    </row>
    <row r="481">
      <c r="A481" t="n">
        <v>24</v>
      </c>
      <c r="B481" t="n">
        <v>20</v>
      </c>
    </row>
    <row r="482">
      <c r="A482" t="n">
        <v>25</v>
      </c>
      <c r="B482" t="n">
        <v>1</v>
      </c>
      <c r="C482" t="n">
        <v>1200</v>
      </c>
      <c r="D482" t="n">
        <v>10.37</v>
      </c>
      <c r="E482" t="n">
        <v>10.42</v>
      </c>
      <c r="F482" t="n">
        <v>4800</v>
      </c>
    </row>
    <row r="483">
      <c r="A483" t="n">
        <v>25</v>
      </c>
      <c r="B483" t="n">
        <v>2</v>
      </c>
      <c r="C483" t="n">
        <v>4800</v>
      </c>
      <c r="D483" t="n">
        <v>10.36</v>
      </c>
      <c r="E483" t="n">
        <v>10.43</v>
      </c>
      <c r="F483" t="n">
        <v>2400</v>
      </c>
    </row>
    <row r="484">
      <c r="A484" t="n">
        <v>25</v>
      </c>
      <c r="B484" t="n">
        <v>3</v>
      </c>
      <c r="C484" t="n">
        <v>3600</v>
      </c>
      <c r="D484" t="n">
        <v>10.35</v>
      </c>
      <c r="E484" t="n">
        <v>10.44</v>
      </c>
      <c r="F484" t="n">
        <v>1200</v>
      </c>
    </row>
    <row r="485">
      <c r="A485" t="n">
        <v>25</v>
      </c>
      <c r="B485" t="n">
        <v>4</v>
      </c>
      <c r="C485" t="n">
        <v>1200</v>
      </c>
      <c r="D485" t="n">
        <v>10.31</v>
      </c>
      <c r="E485" t="n">
        <v>10.48</v>
      </c>
      <c r="F485" t="n">
        <v>1200</v>
      </c>
    </row>
    <row r="486">
      <c r="A486" t="n">
        <v>25</v>
      </c>
      <c r="B486" t="n">
        <v>5</v>
      </c>
      <c r="C486" t="n">
        <v>3600</v>
      </c>
      <c r="D486" t="n">
        <v>10.29</v>
      </c>
      <c r="E486" t="n">
        <v>10.5</v>
      </c>
      <c r="F486" t="n">
        <v>2400</v>
      </c>
    </row>
    <row r="487">
      <c r="A487" t="n">
        <v>25</v>
      </c>
      <c r="B487" t="n">
        <v>6</v>
      </c>
      <c r="C487" t="n">
        <v>2400</v>
      </c>
      <c r="D487" t="n">
        <v>10.27</v>
      </c>
      <c r="E487" t="n">
        <v>10.52</v>
      </c>
      <c r="F487" t="n">
        <v>3600</v>
      </c>
    </row>
    <row r="488">
      <c r="A488" t="n">
        <v>25</v>
      </c>
      <c r="B488" t="n">
        <v>7</v>
      </c>
      <c r="C488" t="n">
        <v>1200</v>
      </c>
      <c r="D488" t="n">
        <v>10.19</v>
      </c>
      <c r="E488" t="n">
        <v>10.6</v>
      </c>
      <c r="F488" t="n">
        <v>3600</v>
      </c>
    </row>
    <row r="489">
      <c r="A489" t="n">
        <v>25</v>
      </c>
      <c r="B489" t="n">
        <v>8</v>
      </c>
      <c r="C489" t="n">
        <v>2400</v>
      </c>
      <c r="D489" t="n">
        <v>10.16</v>
      </c>
      <c r="E489" t="n">
        <v>10.63</v>
      </c>
      <c r="F489" t="n">
        <v>1200</v>
      </c>
    </row>
    <row r="490">
      <c r="A490" t="n">
        <v>25</v>
      </c>
      <c r="B490" t="n">
        <v>9</v>
      </c>
      <c r="C490" t="n">
        <v>2400</v>
      </c>
      <c r="D490" t="n">
        <v>10.13</v>
      </c>
      <c r="E490" t="n">
        <v>10.66</v>
      </c>
      <c r="F490" t="n">
        <v>1200</v>
      </c>
    </row>
    <row r="491">
      <c r="A491" t="n">
        <v>25</v>
      </c>
      <c r="B491" t="n">
        <v>10</v>
      </c>
      <c r="C491" t="n">
        <v>2400</v>
      </c>
      <c r="D491" t="n">
        <v>10.01</v>
      </c>
      <c r="E491" t="n">
        <v>10.78</v>
      </c>
      <c r="F491" t="n">
        <v>3600</v>
      </c>
    </row>
    <row r="492">
      <c r="A492" t="n">
        <v>25</v>
      </c>
      <c r="B492" t="n">
        <v>11</v>
      </c>
    </row>
    <row r="493">
      <c r="A493" t="n">
        <v>25</v>
      </c>
      <c r="B493" t="n">
        <v>12</v>
      </c>
    </row>
    <row r="494">
      <c r="A494" t="n">
        <v>25</v>
      </c>
      <c r="B494" t="n">
        <v>13</v>
      </c>
    </row>
    <row r="495">
      <c r="A495" t="n">
        <v>25</v>
      </c>
      <c r="B495" t="n">
        <v>14</v>
      </c>
    </row>
    <row r="496">
      <c r="A496" t="n">
        <v>25</v>
      </c>
      <c r="B496" t="n">
        <v>15</v>
      </c>
    </row>
    <row r="497">
      <c r="A497" t="n">
        <v>25</v>
      </c>
      <c r="B497" t="n">
        <v>16</v>
      </c>
    </row>
    <row r="498">
      <c r="A498" t="n">
        <v>25</v>
      </c>
      <c r="B498" t="n">
        <v>17</v>
      </c>
    </row>
    <row r="499">
      <c r="A499" t="n">
        <v>25</v>
      </c>
      <c r="B499" t="n">
        <v>18</v>
      </c>
    </row>
    <row r="500">
      <c r="A500" t="n">
        <v>25</v>
      </c>
      <c r="B500" t="n">
        <v>19</v>
      </c>
    </row>
    <row r="501">
      <c r="A501" t="n">
        <v>25</v>
      </c>
      <c r="B501" t="n">
        <v>20</v>
      </c>
    </row>
    <row r="502">
      <c r="A502" t="n">
        <v>26</v>
      </c>
      <c r="B502" t="n">
        <v>1</v>
      </c>
      <c r="C502" t="n">
        <v>9000</v>
      </c>
      <c r="D502" t="n">
        <v>25.54</v>
      </c>
      <c r="E502" t="n">
        <v>25.59</v>
      </c>
      <c r="F502" t="n">
        <v>12000</v>
      </c>
    </row>
    <row r="503">
      <c r="A503" t="n">
        <v>26</v>
      </c>
      <c r="B503" t="n">
        <v>2</v>
      </c>
      <c r="C503" t="n">
        <v>3000</v>
      </c>
      <c r="D503" t="n">
        <v>25.53</v>
      </c>
      <c r="E503" t="n">
        <v>25.6</v>
      </c>
      <c r="F503" t="n">
        <v>3000</v>
      </c>
    </row>
    <row r="504">
      <c r="A504" t="n">
        <v>26</v>
      </c>
      <c r="B504" t="n">
        <v>3</v>
      </c>
      <c r="C504" t="n">
        <v>9000</v>
      </c>
      <c r="D504" t="n">
        <v>25.52</v>
      </c>
      <c r="E504" t="n">
        <v>25.61</v>
      </c>
      <c r="F504" t="n">
        <v>3000</v>
      </c>
    </row>
    <row r="505">
      <c r="A505" t="n">
        <v>26</v>
      </c>
      <c r="B505" t="n">
        <v>4</v>
      </c>
      <c r="C505" t="n">
        <v>6000</v>
      </c>
      <c r="D505" t="n">
        <v>25.48</v>
      </c>
      <c r="E505" t="n">
        <v>25.65</v>
      </c>
      <c r="F505" t="n">
        <v>6000</v>
      </c>
    </row>
    <row r="506">
      <c r="A506" t="n">
        <v>26</v>
      </c>
      <c r="B506" t="n">
        <v>5</v>
      </c>
      <c r="C506" t="n">
        <v>9000</v>
      </c>
      <c r="D506" t="n">
        <v>25.46</v>
      </c>
      <c r="E506" t="n">
        <v>25.67</v>
      </c>
      <c r="F506" t="n">
        <v>9000</v>
      </c>
    </row>
    <row r="507">
      <c r="A507" t="n">
        <v>26</v>
      </c>
      <c r="B507" t="n">
        <v>6</v>
      </c>
      <c r="C507" t="n">
        <v>3000</v>
      </c>
      <c r="D507" t="n">
        <v>25.44</v>
      </c>
      <c r="E507" t="n">
        <v>25.69</v>
      </c>
      <c r="F507" t="n">
        <v>12000</v>
      </c>
    </row>
    <row r="508">
      <c r="A508" t="n">
        <v>26</v>
      </c>
      <c r="B508" t="n">
        <v>7</v>
      </c>
      <c r="C508" t="n">
        <v>9000</v>
      </c>
      <c r="D508" t="n">
        <v>25.36</v>
      </c>
      <c r="E508" t="n">
        <v>25.77</v>
      </c>
      <c r="F508" t="n">
        <v>9000</v>
      </c>
    </row>
    <row r="509">
      <c r="A509" t="n">
        <v>26</v>
      </c>
      <c r="B509" t="n">
        <v>8</v>
      </c>
      <c r="C509" t="n">
        <v>3000</v>
      </c>
      <c r="D509" t="n">
        <v>25.33</v>
      </c>
      <c r="E509" t="n">
        <v>25.8</v>
      </c>
      <c r="F509" t="n">
        <v>3000</v>
      </c>
    </row>
    <row r="510">
      <c r="A510" t="n">
        <v>26</v>
      </c>
      <c r="B510" t="n">
        <v>9</v>
      </c>
      <c r="C510" t="n">
        <v>3000</v>
      </c>
      <c r="D510" t="n">
        <v>25.3</v>
      </c>
      <c r="E510" t="n">
        <v>25.83</v>
      </c>
      <c r="F510" t="n">
        <v>3000</v>
      </c>
    </row>
    <row r="511">
      <c r="A511" t="n">
        <v>26</v>
      </c>
      <c r="B511" t="n">
        <v>10</v>
      </c>
      <c r="C511" t="n">
        <v>3000</v>
      </c>
      <c r="D511" t="n">
        <v>25.18</v>
      </c>
      <c r="E511" t="n">
        <v>25.95</v>
      </c>
      <c r="F511" t="n">
        <v>9000</v>
      </c>
    </row>
    <row r="512">
      <c r="A512" t="n">
        <v>26</v>
      </c>
      <c r="B512" t="n">
        <v>11</v>
      </c>
    </row>
    <row r="513">
      <c r="A513" t="n">
        <v>26</v>
      </c>
      <c r="B513" t="n">
        <v>12</v>
      </c>
    </row>
    <row r="514">
      <c r="A514" t="n">
        <v>26</v>
      </c>
      <c r="B514" t="n">
        <v>13</v>
      </c>
    </row>
    <row r="515">
      <c r="A515" t="n">
        <v>26</v>
      </c>
      <c r="B515" t="n">
        <v>14</v>
      </c>
    </row>
    <row r="516">
      <c r="A516" t="n">
        <v>26</v>
      </c>
      <c r="B516" t="n">
        <v>15</v>
      </c>
    </row>
    <row r="517">
      <c r="A517" t="n">
        <v>26</v>
      </c>
      <c r="B517" t="n">
        <v>16</v>
      </c>
    </row>
    <row r="518">
      <c r="A518" t="n">
        <v>26</v>
      </c>
      <c r="B518" t="n">
        <v>17</v>
      </c>
    </row>
    <row r="519">
      <c r="A519" t="n">
        <v>26</v>
      </c>
      <c r="B519" t="n">
        <v>18</v>
      </c>
    </row>
    <row r="520">
      <c r="A520" t="n">
        <v>26</v>
      </c>
      <c r="B520" t="n">
        <v>19</v>
      </c>
    </row>
    <row r="521">
      <c r="A521" t="n">
        <v>26</v>
      </c>
      <c r="B521" t="n">
        <v>20</v>
      </c>
    </row>
    <row r="522">
      <c r="A522" t="n">
        <v>27</v>
      </c>
      <c r="B522" t="n">
        <v>1</v>
      </c>
      <c r="C522" t="n">
        <v>12000</v>
      </c>
      <c r="D522" t="n">
        <v>25.57</v>
      </c>
      <c r="E522" t="n">
        <v>25.62</v>
      </c>
      <c r="F522" t="n">
        <v>9000</v>
      </c>
    </row>
    <row r="523">
      <c r="A523" t="n">
        <v>27</v>
      </c>
      <c r="B523" t="n">
        <v>2</v>
      </c>
      <c r="C523" t="n">
        <v>3000</v>
      </c>
      <c r="D523" t="n">
        <v>25.56</v>
      </c>
      <c r="E523" t="n">
        <v>25.63</v>
      </c>
      <c r="F523" t="n">
        <v>3000</v>
      </c>
    </row>
    <row r="524">
      <c r="A524" t="n">
        <v>27</v>
      </c>
      <c r="B524" t="n">
        <v>3</v>
      </c>
      <c r="C524" t="n">
        <v>3000</v>
      </c>
      <c r="D524" t="n">
        <v>25.55</v>
      </c>
      <c r="E524" t="n">
        <v>25.64</v>
      </c>
      <c r="F524" t="n">
        <v>9000</v>
      </c>
    </row>
    <row r="525">
      <c r="A525" t="n">
        <v>27</v>
      </c>
      <c r="B525" t="n">
        <v>4</v>
      </c>
      <c r="C525" t="n">
        <v>12000</v>
      </c>
      <c r="D525" t="n">
        <v>25.51</v>
      </c>
      <c r="E525" t="n">
        <v>25.68</v>
      </c>
      <c r="F525" t="n">
        <v>6000</v>
      </c>
    </row>
    <row r="526">
      <c r="A526" t="n">
        <v>27</v>
      </c>
      <c r="B526" t="n">
        <v>5</v>
      </c>
      <c r="C526" t="n">
        <v>6000</v>
      </c>
      <c r="D526" t="n">
        <v>25.49</v>
      </c>
      <c r="E526" t="n">
        <v>25.7</v>
      </c>
      <c r="F526" t="n">
        <v>3000</v>
      </c>
    </row>
    <row r="527">
      <c r="A527" t="n">
        <v>27</v>
      </c>
      <c r="B527" t="n">
        <v>6</v>
      </c>
      <c r="C527" t="n">
        <v>12000</v>
      </c>
      <c r="D527" t="n">
        <v>25.47</v>
      </c>
      <c r="E527" t="n">
        <v>25.72</v>
      </c>
      <c r="F527" t="n">
        <v>9000</v>
      </c>
    </row>
    <row r="528">
      <c r="A528" t="n">
        <v>27</v>
      </c>
      <c r="B528" t="n">
        <v>7</v>
      </c>
      <c r="C528" t="n">
        <v>3000</v>
      </c>
      <c r="D528" t="n">
        <v>25.39</v>
      </c>
      <c r="E528" t="n">
        <v>25.8</v>
      </c>
      <c r="F528" t="n">
        <v>3000</v>
      </c>
    </row>
    <row r="529">
      <c r="A529" t="n">
        <v>27</v>
      </c>
      <c r="B529" t="n">
        <v>8</v>
      </c>
      <c r="C529" t="n">
        <v>9000</v>
      </c>
      <c r="D529" t="n">
        <v>25.36</v>
      </c>
      <c r="E529" t="n">
        <v>25.83</v>
      </c>
      <c r="F529" t="n">
        <v>12000</v>
      </c>
    </row>
    <row r="530">
      <c r="A530" t="n">
        <v>27</v>
      </c>
      <c r="B530" t="n">
        <v>9</v>
      </c>
      <c r="C530" t="n">
        <v>12000</v>
      </c>
      <c r="D530" t="n">
        <v>25.33</v>
      </c>
      <c r="E530" t="n">
        <v>25.86</v>
      </c>
      <c r="F530" t="n">
        <v>3000</v>
      </c>
    </row>
    <row r="531">
      <c r="A531" t="n">
        <v>27</v>
      </c>
      <c r="B531" t="n">
        <v>10</v>
      </c>
      <c r="C531" t="n">
        <v>9000</v>
      </c>
      <c r="D531" t="n">
        <v>25.21</v>
      </c>
      <c r="E531" t="n">
        <v>25.98</v>
      </c>
      <c r="F531" t="n">
        <v>3000</v>
      </c>
    </row>
    <row r="532">
      <c r="A532" t="n">
        <v>27</v>
      </c>
      <c r="B532" t="n">
        <v>11</v>
      </c>
    </row>
    <row r="533">
      <c r="A533" t="n">
        <v>27</v>
      </c>
      <c r="B533" t="n">
        <v>12</v>
      </c>
    </row>
    <row r="534">
      <c r="A534" t="n">
        <v>27</v>
      </c>
      <c r="B534" t="n">
        <v>13</v>
      </c>
    </row>
    <row r="535">
      <c r="A535" t="n">
        <v>27</v>
      </c>
      <c r="B535" t="n">
        <v>14</v>
      </c>
    </row>
    <row r="536">
      <c r="A536" t="n">
        <v>27</v>
      </c>
      <c r="B536" t="n">
        <v>15</v>
      </c>
    </row>
    <row r="537">
      <c r="A537" t="n">
        <v>27</v>
      </c>
      <c r="B537" t="n">
        <v>16</v>
      </c>
    </row>
    <row r="538">
      <c r="A538" t="n">
        <v>27</v>
      </c>
      <c r="B538" t="n">
        <v>17</v>
      </c>
    </row>
    <row r="539">
      <c r="A539" t="n">
        <v>27</v>
      </c>
      <c r="B539" t="n">
        <v>18</v>
      </c>
    </row>
    <row r="540">
      <c r="A540" t="n">
        <v>27</v>
      </c>
      <c r="B540" t="n">
        <v>19</v>
      </c>
    </row>
    <row r="541">
      <c r="A541" t="n">
        <v>27</v>
      </c>
      <c r="B541" t="n">
        <v>20</v>
      </c>
    </row>
    <row r="542">
      <c r="A542" t="n">
        <v>28</v>
      </c>
      <c r="B542" t="n">
        <v>1</v>
      </c>
      <c r="C542" t="n">
        <v>800</v>
      </c>
      <c r="D542" t="n">
        <v>20.69</v>
      </c>
      <c r="E542" t="n">
        <v>20.74</v>
      </c>
      <c r="F542" t="n">
        <v>3200</v>
      </c>
    </row>
    <row r="543">
      <c r="A543" t="n">
        <v>28</v>
      </c>
      <c r="B543" t="n">
        <v>2</v>
      </c>
      <c r="C543" t="n">
        <v>3200</v>
      </c>
      <c r="D543" t="n">
        <v>20.68</v>
      </c>
      <c r="E543" t="n">
        <v>20.75</v>
      </c>
      <c r="F543" t="n">
        <v>2400</v>
      </c>
    </row>
    <row r="544">
      <c r="A544" t="n">
        <v>28</v>
      </c>
      <c r="B544" t="n">
        <v>3</v>
      </c>
      <c r="C544" t="n">
        <v>800</v>
      </c>
      <c r="D544" t="n">
        <v>20.67</v>
      </c>
      <c r="E544" t="n">
        <v>20.76</v>
      </c>
      <c r="F544" t="n">
        <v>2400</v>
      </c>
    </row>
    <row r="545">
      <c r="A545" t="n">
        <v>28</v>
      </c>
      <c r="B545" t="n">
        <v>4</v>
      </c>
      <c r="C545" t="n">
        <v>1600</v>
      </c>
      <c r="D545" t="n">
        <v>20.63</v>
      </c>
      <c r="E545" t="n">
        <v>20.8</v>
      </c>
      <c r="F545" t="n">
        <v>800</v>
      </c>
    </row>
    <row r="546">
      <c r="A546" t="n">
        <v>28</v>
      </c>
      <c r="B546" t="n">
        <v>5</v>
      </c>
      <c r="C546" t="n">
        <v>3200</v>
      </c>
      <c r="D546" t="n">
        <v>20.61</v>
      </c>
      <c r="E546" t="n">
        <v>20.82</v>
      </c>
      <c r="F546" t="n">
        <v>800</v>
      </c>
    </row>
    <row r="547">
      <c r="A547" t="n">
        <v>28</v>
      </c>
      <c r="B547" t="n">
        <v>6</v>
      </c>
      <c r="C547" t="n">
        <v>2400</v>
      </c>
      <c r="D547" t="n">
        <v>20.59</v>
      </c>
      <c r="E547" t="n">
        <v>20.84</v>
      </c>
      <c r="F547" t="n">
        <v>800</v>
      </c>
    </row>
    <row r="548">
      <c r="A548" t="n">
        <v>28</v>
      </c>
      <c r="B548" t="n">
        <v>7</v>
      </c>
      <c r="C548" t="n">
        <v>2400</v>
      </c>
      <c r="D548" t="n">
        <v>20.51</v>
      </c>
      <c r="E548" t="n">
        <v>20.92</v>
      </c>
      <c r="F548" t="n">
        <v>3200</v>
      </c>
    </row>
    <row r="549">
      <c r="A549" t="n">
        <v>28</v>
      </c>
      <c r="B549" t="n">
        <v>8</v>
      </c>
      <c r="C549" t="n">
        <v>3200</v>
      </c>
      <c r="D549" t="n">
        <v>20.48</v>
      </c>
      <c r="E549" t="n">
        <v>20.95</v>
      </c>
      <c r="F549" t="n">
        <v>3200</v>
      </c>
    </row>
    <row r="550">
      <c r="A550" t="n">
        <v>28</v>
      </c>
      <c r="B550" t="n">
        <v>9</v>
      </c>
      <c r="C550" t="n">
        <v>1600</v>
      </c>
      <c r="D550" t="n">
        <v>20.45</v>
      </c>
      <c r="E550" t="n">
        <v>20.98</v>
      </c>
      <c r="F550" t="n">
        <v>2400</v>
      </c>
    </row>
    <row r="551">
      <c r="A551" t="n">
        <v>28</v>
      </c>
      <c r="B551" t="n">
        <v>10</v>
      </c>
      <c r="C551" t="n">
        <v>2400</v>
      </c>
      <c r="D551" t="n">
        <v>20.33</v>
      </c>
      <c r="E551" t="n">
        <v>21.1</v>
      </c>
      <c r="F551" t="n">
        <v>1600</v>
      </c>
    </row>
    <row r="552">
      <c r="A552" t="n">
        <v>28</v>
      </c>
      <c r="B552" t="n">
        <v>11</v>
      </c>
    </row>
    <row r="553">
      <c r="A553" t="n">
        <v>28</v>
      </c>
      <c r="B553" t="n">
        <v>12</v>
      </c>
    </row>
    <row r="554">
      <c r="A554" t="n">
        <v>28</v>
      </c>
      <c r="B554" t="n">
        <v>13</v>
      </c>
    </row>
    <row r="555">
      <c r="A555" t="n">
        <v>28</v>
      </c>
      <c r="B555" t="n">
        <v>14</v>
      </c>
    </row>
    <row r="556">
      <c r="A556" t="n">
        <v>28</v>
      </c>
      <c r="B556" t="n">
        <v>15</v>
      </c>
    </row>
    <row r="557">
      <c r="A557" t="n">
        <v>28</v>
      </c>
      <c r="B557" t="n">
        <v>16</v>
      </c>
    </row>
    <row r="558">
      <c r="A558" t="n">
        <v>28</v>
      </c>
      <c r="B558" t="n">
        <v>17</v>
      </c>
    </row>
    <row r="559">
      <c r="A559" t="n">
        <v>28</v>
      </c>
      <c r="B559" t="n">
        <v>18</v>
      </c>
    </row>
    <row r="560">
      <c r="A560" t="n">
        <v>28</v>
      </c>
      <c r="B560" t="n">
        <v>19</v>
      </c>
    </row>
    <row r="561">
      <c r="A561" t="n">
        <v>28</v>
      </c>
      <c r="B561" t="n">
        <v>20</v>
      </c>
    </row>
    <row r="562">
      <c r="A562" t="n">
        <v>29</v>
      </c>
      <c r="B562" t="n">
        <v>1</v>
      </c>
      <c r="C562" t="n">
        <v>12800</v>
      </c>
      <c r="D562" t="n">
        <v>20.42</v>
      </c>
      <c r="E562" t="n">
        <v>20.47</v>
      </c>
      <c r="F562" t="n">
        <v>3200</v>
      </c>
    </row>
    <row r="563">
      <c r="A563" t="n">
        <v>29</v>
      </c>
      <c r="B563" t="n">
        <v>2</v>
      </c>
      <c r="C563" t="n">
        <v>12800</v>
      </c>
      <c r="D563" t="n">
        <v>20.41</v>
      </c>
      <c r="E563" t="n">
        <v>20.48</v>
      </c>
      <c r="F563" t="n">
        <v>9600</v>
      </c>
    </row>
    <row r="564">
      <c r="A564" t="n">
        <v>29</v>
      </c>
      <c r="B564" t="n">
        <v>3</v>
      </c>
      <c r="C564" t="n">
        <v>3200</v>
      </c>
      <c r="D564" t="n">
        <v>20.4</v>
      </c>
      <c r="E564" t="n">
        <v>20.49</v>
      </c>
      <c r="F564" t="n">
        <v>3200</v>
      </c>
    </row>
    <row r="565">
      <c r="A565" t="n">
        <v>29</v>
      </c>
      <c r="B565" t="n">
        <v>4</v>
      </c>
      <c r="C565" t="n">
        <v>12800</v>
      </c>
      <c r="D565" t="n">
        <v>20.36</v>
      </c>
      <c r="E565" t="n">
        <v>20.53</v>
      </c>
      <c r="F565" t="n">
        <v>9600</v>
      </c>
    </row>
    <row r="566">
      <c r="A566" t="n">
        <v>29</v>
      </c>
      <c r="B566" t="n">
        <v>5</v>
      </c>
      <c r="C566" t="n">
        <v>3200</v>
      </c>
      <c r="D566" t="n">
        <v>20.34</v>
      </c>
      <c r="E566" t="n">
        <v>20.55</v>
      </c>
      <c r="F566" t="n">
        <v>6400</v>
      </c>
    </row>
    <row r="567">
      <c r="A567" t="n">
        <v>29</v>
      </c>
      <c r="B567" t="n">
        <v>6</v>
      </c>
      <c r="C567" t="n">
        <v>12800</v>
      </c>
      <c r="D567" t="n">
        <v>20.32</v>
      </c>
      <c r="E567" t="n">
        <v>20.57</v>
      </c>
      <c r="F567" t="n">
        <v>6400</v>
      </c>
    </row>
    <row r="568">
      <c r="A568" t="n">
        <v>29</v>
      </c>
      <c r="B568" t="n">
        <v>7</v>
      </c>
      <c r="C568" t="n">
        <v>12800</v>
      </c>
      <c r="D568" t="n">
        <v>20.24</v>
      </c>
      <c r="E568" t="n">
        <v>20.65</v>
      </c>
      <c r="F568" t="n">
        <v>9600</v>
      </c>
    </row>
    <row r="569">
      <c r="A569" t="n">
        <v>29</v>
      </c>
      <c r="B569" t="n">
        <v>8</v>
      </c>
      <c r="C569" t="n">
        <v>9600</v>
      </c>
      <c r="D569" t="n">
        <v>20.21</v>
      </c>
      <c r="E569" t="n">
        <v>20.68</v>
      </c>
      <c r="F569" t="n">
        <v>3200</v>
      </c>
    </row>
    <row r="570">
      <c r="A570" t="n">
        <v>29</v>
      </c>
      <c r="B570" t="n">
        <v>9</v>
      </c>
      <c r="C570" t="n">
        <v>9600</v>
      </c>
      <c r="D570" t="n">
        <v>20.18</v>
      </c>
      <c r="E570" t="n">
        <v>20.71</v>
      </c>
      <c r="F570" t="n">
        <v>12800</v>
      </c>
    </row>
    <row r="571">
      <c r="A571" t="n">
        <v>29</v>
      </c>
      <c r="B571" t="n">
        <v>10</v>
      </c>
      <c r="C571" t="n">
        <v>3200</v>
      </c>
      <c r="D571" t="n">
        <v>20.06</v>
      </c>
      <c r="E571" t="n">
        <v>20.83</v>
      </c>
      <c r="F571" t="n">
        <v>3200</v>
      </c>
    </row>
    <row r="572">
      <c r="A572" t="n">
        <v>29</v>
      </c>
      <c r="B572" t="n">
        <v>11</v>
      </c>
    </row>
    <row r="573">
      <c r="A573" t="n">
        <v>29</v>
      </c>
      <c r="B573" t="n">
        <v>12</v>
      </c>
    </row>
    <row r="574">
      <c r="A574" t="n">
        <v>29</v>
      </c>
      <c r="B574" t="n">
        <v>13</v>
      </c>
    </row>
    <row r="575">
      <c r="A575" t="n">
        <v>29</v>
      </c>
      <c r="B575" t="n">
        <v>14</v>
      </c>
    </row>
    <row r="576">
      <c r="A576" t="n">
        <v>29</v>
      </c>
      <c r="B576" t="n">
        <v>15</v>
      </c>
    </row>
    <row r="577">
      <c r="A577" t="n">
        <v>29</v>
      </c>
      <c r="B577" t="n">
        <v>16</v>
      </c>
    </row>
    <row r="578">
      <c r="A578" t="n">
        <v>29</v>
      </c>
      <c r="B578" t="n">
        <v>17</v>
      </c>
    </row>
    <row r="579">
      <c r="A579" t="n">
        <v>29</v>
      </c>
      <c r="B579" t="n">
        <v>18</v>
      </c>
    </row>
    <row r="580">
      <c r="A580" t="n">
        <v>29</v>
      </c>
      <c r="B580" t="n">
        <v>19</v>
      </c>
    </row>
    <row r="581">
      <c r="A581" t="n">
        <v>29</v>
      </c>
      <c r="B581" t="n">
        <v>20</v>
      </c>
    </row>
    <row r="582">
      <c r="A582" t="n">
        <v>30</v>
      </c>
      <c r="B582" t="n">
        <v>1</v>
      </c>
      <c r="C582" t="n">
        <v>2400</v>
      </c>
      <c r="D582" t="n">
        <v>20.6</v>
      </c>
      <c r="E582" t="n">
        <v>20.65</v>
      </c>
      <c r="F582" t="n">
        <v>1600</v>
      </c>
    </row>
    <row r="583">
      <c r="A583" t="n">
        <v>30</v>
      </c>
      <c r="B583" t="n">
        <v>2</v>
      </c>
      <c r="C583" t="n">
        <v>2400</v>
      </c>
      <c r="D583" t="n">
        <v>20.59</v>
      </c>
      <c r="E583" t="n">
        <v>20.66</v>
      </c>
      <c r="F583" t="n">
        <v>800</v>
      </c>
    </row>
    <row r="584">
      <c r="A584" t="n">
        <v>30</v>
      </c>
      <c r="B584" t="n">
        <v>3</v>
      </c>
      <c r="C584" t="n">
        <v>1600</v>
      </c>
      <c r="D584" t="n">
        <v>20.58</v>
      </c>
      <c r="E584" t="n">
        <v>20.67</v>
      </c>
      <c r="F584" t="n">
        <v>3200</v>
      </c>
    </row>
    <row r="585">
      <c r="A585" t="n">
        <v>30</v>
      </c>
      <c r="B585" t="n">
        <v>4</v>
      </c>
      <c r="C585" t="n">
        <v>3200</v>
      </c>
      <c r="D585" t="n">
        <v>20.54</v>
      </c>
      <c r="E585" t="n">
        <v>20.71</v>
      </c>
      <c r="F585" t="n">
        <v>1600</v>
      </c>
    </row>
    <row r="586">
      <c r="A586" t="n">
        <v>30</v>
      </c>
      <c r="B586" t="n">
        <v>5</v>
      </c>
      <c r="C586" t="n">
        <v>3200</v>
      </c>
      <c r="D586" t="n">
        <v>20.52</v>
      </c>
      <c r="E586" t="n">
        <v>20.73</v>
      </c>
      <c r="F586" t="n">
        <v>3200</v>
      </c>
    </row>
    <row r="587">
      <c r="A587" t="n">
        <v>30</v>
      </c>
      <c r="B587" t="n">
        <v>6</v>
      </c>
      <c r="C587" t="n">
        <v>3200</v>
      </c>
      <c r="D587" t="n">
        <v>20.5</v>
      </c>
      <c r="E587" t="n">
        <v>20.75</v>
      </c>
      <c r="F587" t="n">
        <v>1600</v>
      </c>
    </row>
    <row r="588">
      <c r="A588" t="n">
        <v>30</v>
      </c>
      <c r="B588" t="n">
        <v>7</v>
      </c>
      <c r="C588" t="n">
        <v>2400</v>
      </c>
      <c r="D588" t="n">
        <v>20.42</v>
      </c>
      <c r="E588" t="n">
        <v>20.83</v>
      </c>
      <c r="F588" t="n">
        <v>3200</v>
      </c>
    </row>
    <row r="589">
      <c r="A589" t="n">
        <v>30</v>
      </c>
      <c r="B589" t="n">
        <v>8</v>
      </c>
      <c r="C589" t="n">
        <v>1600</v>
      </c>
      <c r="D589" t="n">
        <v>20.39</v>
      </c>
      <c r="E589" t="n">
        <v>20.86</v>
      </c>
      <c r="F589" t="n">
        <v>1600</v>
      </c>
    </row>
    <row r="590">
      <c r="A590" t="n">
        <v>30</v>
      </c>
      <c r="B590" t="n">
        <v>9</v>
      </c>
      <c r="C590" t="n">
        <v>800</v>
      </c>
      <c r="D590" t="n">
        <v>20.36</v>
      </c>
      <c r="E590" t="n">
        <v>20.89</v>
      </c>
      <c r="F590" t="n">
        <v>3200</v>
      </c>
    </row>
    <row r="591">
      <c r="A591" t="n">
        <v>30</v>
      </c>
      <c r="B591" t="n">
        <v>10</v>
      </c>
      <c r="C591" t="n">
        <v>3200</v>
      </c>
      <c r="D591" t="n">
        <v>20.24</v>
      </c>
      <c r="E591" t="n">
        <v>21.01</v>
      </c>
      <c r="F591" t="n">
        <v>2400</v>
      </c>
    </row>
    <row r="592">
      <c r="A592" t="n">
        <v>30</v>
      </c>
      <c r="B592" t="n">
        <v>11</v>
      </c>
    </row>
    <row r="593">
      <c r="A593" t="n">
        <v>30</v>
      </c>
      <c r="B593" t="n">
        <v>12</v>
      </c>
    </row>
    <row r="594">
      <c r="A594" t="n">
        <v>30</v>
      </c>
      <c r="B594" t="n">
        <v>13</v>
      </c>
    </row>
    <row r="595">
      <c r="A595" t="n">
        <v>30</v>
      </c>
      <c r="B595" t="n">
        <v>14</v>
      </c>
    </row>
    <row r="596">
      <c r="A596" t="n">
        <v>30</v>
      </c>
      <c r="B596" t="n">
        <v>15</v>
      </c>
    </row>
    <row r="597">
      <c r="A597" t="n">
        <v>30</v>
      </c>
      <c r="B597" t="n">
        <v>16</v>
      </c>
    </row>
    <row r="598">
      <c r="A598" t="n">
        <v>30</v>
      </c>
      <c r="B598" t="n">
        <v>17</v>
      </c>
    </row>
    <row r="599">
      <c r="A599" t="n">
        <v>30</v>
      </c>
      <c r="B599" t="n">
        <v>18</v>
      </c>
    </row>
    <row r="600">
      <c r="A600" t="n">
        <v>30</v>
      </c>
      <c r="B600" t="n">
        <v>19</v>
      </c>
    </row>
    <row r="601">
      <c r="A601" t="n">
        <v>30</v>
      </c>
      <c r="B601" t="n">
        <v>20</v>
      </c>
    </row>
    <row r="602">
      <c r="A602" t="n">
        <v>31</v>
      </c>
      <c r="B602" t="n">
        <v>1</v>
      </c>
      <c r="C602" t="n">
        <v>12800</v>
      </c>
      <c r="D602" t="n">
        <v>20.57</v>
      </c>
      <c r="E602" t="n">
        <v>20.62</v>
      </c>
      <c r="F602" t="n">
        <v>9600</v>
      </c>
    </row>
    <row r="603">
      <c r="A603" t="n">
        <v>31</v>
      </c>
      <c r="B603" t="n">
        <v>2</v>
      </c>
      <c r="C603" t="n">
        <v>9600</v>
      </c>
      <c r="D603" t="n">
        <v>20.56</v>
      </c>
      <c r="E603" t="n">
        <v>20.63</v>
      </c>
      <c r="F603" t="n">
        <v>6400</v>
      </c>
    </row>
    <row r="604">
      <c r="A604" t="n">
        <v>31</v>
      </c>
      <c r="B604" t="n">
        <v>3</v>
      </c>
      <c r="C604" t="n">
        <v>6400</v>
      </c>
      <c r="D604" t="n">
        <v>20.55</v>
      </c>
      <c r="E604" t="n">
        <v>20.64</v>
      </c>
      <c r="F604" t="n">
        <v>3200</v>
      </c>
    </row>
    <row r="605">
      <c r="A605" t="n">
        <v>31</v>
      </c>
      <c r="B605" t="n">
        <v>4</v>
      </c>
      <c r="C605" t="n">
        <v>6400</v>
      </c>
      <c r="D605" t="n">
        <v>20.51</v>
      </c>
      <c r="E605" t="n">
        <v>20.68</v>
      </c>
      <c r="F605" t="n">
        <v>3200</v>
      </c>
    </row>
    <row r="606">
      <c r="A606" t="n">
        <v>31</v>
      </c>
      <c r="B606" t="n">
        <v>5</v>
      </c>
      <c r="C606" t="n">
        <v>9600</v>
      </c>
      <c r="D606" t="n">
        <v>20.49</v>
      </c>
      <c r="E606" t="n">
        <v>20.7</v>
      </c>
      <c r="F606" t="n">
        <v>6400</v>
      </c>
    </row>
    <row r="607">
      <c r="A607" t="n">
        <v>31</v>
      </c>
      <c r="B607" t="n">
        <v>6</v>
      </c>
      <c r="C607" t="n">
        <v>6400</v>
      </c>
      <c r="D607" t="n">
        <v>20.47</v>
      </c>
      <c r="E607" t="n">
        <v>20.72</v>
      </c>
      <c r="F607" t="n">
        <v>12800</v>
      </c>
    </row>
    <row r="608">
      <c r="A608" t="n">
        <v>31</v>
      </c>
      <c r="B608" t="n">
        <v>7</v>
      </c>
      <c r="C608" t="n">
        <v>12800</v>
      </c>
      <c r="D608" t="n">
        <v>20.39</v>
      </c>
      <c r="E608" t="n">
        <v>20.8</v>
      </c>
      <c r="F608" t="n">
        <v>6400</v>
      </c>
    </row>
    <row r="609">
      <c r="A609" t="n">
        <v>31</v>
      </c>
      <c r="B609" t="n">
        <v>8</v>
      </c>
      <c r="C609" t="n">
        <v>12800</v>
      </c>
      <c r="D609" t="n">
        <v>20.36</v>
      </c>
      <c r="E609" t="n">
        <v>20.83</v>
      </c>
      <c r="F609" t="n">
        <v>12800</v>
      </c>
    </row>
    <row r="610">
      <c r="A610" t="n">
        <v>31</v>
      </c>
      <c r="B610" t="n">
        <v>9</v>
      </c>
      <c r="C610" t="n">
        <v>3200</v>
      </c>
      <c r="D610" t="n">
        <v>20.33</v>
      </c>
      <c r="E610" t="n">
        <v>20.86</v>
      </c>
      <c r="F610" t="n">
        <v>9600</v>
      </c>
    </row>
    <row r="611">
      <c r="A611" t="n">
        <v>31</v>
      </c>
      <c r="B611" t="n">
        <v>10</v>
      </c>
      <c r="C611" t="n">
        <v>12800</v>
      </c>
      <c r="D611" t="n">
        <v>20.21</v>
      </c>
      <c r="E611" t="n">
        <v>20.98</v>
      </c>
      <c r="F611" t="n">
        <v>6400</v>
      </c>
    </row>
    <row r="612">
      <c r="A612" t="n">
        <v>31</v>
      </c>
      <c r="B612" t="n">
        <v>11</v>
      </c>
    </row>
    <row r="613">
      <c r="A613" t="n">
        <v>31</v>
      </c>
      <c r="B613" t="n">
        <v>12</v>
      </c>
    </row>
    <row r="614">
      <c r="A614" t="n">
        <v>31</v>
      </c>
      <c r="B614" t="n">
        <v>13</v>
      </c>
    </row>
    <row r="615">
      <c r="A615" t="n">
        <v>31</v>
      </c>
      <c r="B615" t="n">
        <v>14</v>
      </c>
    </row>
    <row r="616">
      <c r="A616" t="n">
        <v>31</v>
      </c>
      <c r="B616" t="n">
        <v>15</v>
      </c>
    </row>
    <row r="617">
      <c r="A617" t="n">
        <v>31</v>
      </c>
      <c r="B617" t="n">
        <v>16</v>
      </c>
    </row>
    <row r="618">
      <c r="A618" t="n">
        <v>31</v>
      </c>
      <c r="B618" t="n">
        <v>17</v>
      </c>
    </row>
    <row r="619">
      <c r="A619" t="n">
        <v>31</v>
      </c>
      <c r="B619" t="n">
        <v>18</v>
      </c>
    </row>
    <row r="620">
      <c r="A620" t="n">
        <v>31</v>
      </c>
      <c r="B620" t="n">
        <v>19</v>
      </c>
    </row>
    <row r="621">
      <c r="A621" t="n">
        <v>31</v>
      </c>
      <c r="B621" t="n">
        <v>20</v>
      </c>
    </row>
    <row r="622">
      <c r="A622" t="n">
        <v>32</v>
      </c>
      <c r="B622" t="n">
        <v>1</v>
      </c>
      <c r="C622" t="n">
        <v>9600</v>
      </c>
      <c r="D622" t="n">
        <v>20.52</v>
      </c>
      <c r="E622" t="n">
        <v>20.57</v>
      </c>
      <c r="F622" t="n">
        <v>3200</v>
      </c>
    </row>
    <row r="623">
      <c r="A623" t="n">
        <v>32</v>
      </c>
      <c r="B623" t="n">
        <v>2</v>
      </c>
      <c r="C623" t="n">
        <v>9600</v>
      </c>
      <c r="D623" t="n">
        <v>20.51</v>
      </c>
      <c r="E623" t="n">
        <v>20.58</v>
      </c>
      <c r="F623" t="n">
        <v>6400</v>
      </c>
    </row>
    <row r="624">
      <c r="A624" t="n">
        <v>32</v>
      </c>
      <c r="B624" t="n">
        <v>3</v>
      </c>
      <c r="C624" t="n">
        <v>12800</v>
      </c>
      <c r="D624" t="n">
        <v>20.5</v>
      </c>
      <c r="E624" t="n">
        <v>20.59</v>
      </c>
      <c r="F624" t="n">
        <v>9600</v>
      </c>
    </row>
    <row r="625">
      <c r="A625" t="n">
        <v>32</v>
      </c>
      <c r="B625" t="n">
        <v>4</v>
      </c>
      <c r="C625" t="n">
        <v>6400</v>
      </c>
      <c r="D625" t="n">
        <v>20.46</v>
      </c>
      <c r="E625" t="n">
        <v>20.63</v>
      </c>
      <c r="F625" t="n">
        <v>9600</v>
      </c>
    </row>
    <row r="626">
      <c r="A626" t="n">
        <v>32</v>
      </c>
      <c r="B626" t="n">
        <v>5</v>
      </c>
      <c r="C626" t="n">
        <v>12800</v>
      </c>
      <c r="D626" t="n">
        <v>20.44</v>
      </c>
      <c r="E626" t="n">
        <v>20.65</v>
      </c>
      <c r="F626" t="n">
        <v>3200</v>
      </c>
    </row>
    <row r="627">
      <c r="A627" t="n">
        <v>32</v>
      </c>
      <c r="B627" t="n">
        <v>6</v>
      </c>
      <c r="C627" t="n">
        <v>9600</v>
      </c>
      <c r="D627" t="n">
        <v>20.42</v>
      </c>
      <c r="E627" t="n">
        <v>20.67</v>
      </c>
      <c r="F627" t="n">
        <v>9600</v>
      </c>
    </row>
    <row r="628">
      <c r="A628" t="n">
        <v>32</v>
      </c>
      <c r="B628" t="n">
        <v>7</v>
      </c>
      <c r="C628" t="n">
        <v>6400</v>
      </c>
      <c r="D628" t="n">
        <v>20.34</v>
      </c>
      <c r="E628" t="n">
        <v>20.75</v>
      </c>
      <c r="F628" t="n">
        <v>3200</v>
      </c>
    </row>
    <row r="629">
      <c r="A629" t="n">
        <v>32</v>
      </c>
      <c r="B629" t="n">
        <v>8</v>
      </c>
      <c r="C629" t="n">
        <v>9600</v>
      </c>
      <c r="D629" t="n">
        <v>20.31</v>
      </c>
      <c r="E629" t="n">
        <v>20.78</v>
      </c>
      <c r="F629" t="n">
        <v>3200</v>
      </c>
    </row>
    <row r="630">
      <c r="A630" t="n">
        <v>32</v>
      </c>
      <c r="B630" t="n">
        <v>9</v>
      </c>
      <c r="C630" t="n">
        <v>6400</v>
      </c>
      <c r="D630" t="n">
        <v>20.28</v>
      </c>
      <c r="E630" t="n">
        <v>20.81</v>
      </c>
      <c r="F630" t="n">
        <v>12800</v>
      </c>
    </row>
    <row r="631">
      <c r="A631" t="n">
        <v>32</v>
      </c>
      <c r="B631" t="n">
        <v>10</v>
      </c>
      <c r="C631" t="n">
        <v>3200</v>
      </c>
      <c r="D631" t="n">
        <v>20.16</v>
      </c>
      <c r="E631" t="n">
        <v>20.93</v>
      </c>
      <c r="F631" t="n">
        <v>6400</v>
      </c>
    </row>
    <row r="632">
      <c r="A632" t="n">
        <v>32</v>
      </c>
      <c r="B632" t="n">
        <v>11</v>
      </c>
    </row>
    <row r="633">
      <c r="A633" t="n">
        <v>32</v>
      </c>
      <c r="B633" t="n">
        <v>12</v>
      </c>
    </row>
    <row r="634">
      <c r="A634" t="n">
        <v>32</v>
      </c>
      <c r="B634" t="n">
        <v>13</v>
      </c>
    </row>
    <row r="635">
      <c r="A635" t="n">
        <v>32</v>
      </c>
      <c r="B635" t="n">
        <v>14</v>
      </c>
    </row>
    <row r="636">
      <c r="A636" t="n">
        <v>32</v>
      </c>
      <c r="B636" t="n">
        <v>15</v>
      </c>
    </row>
    <row r="637">
      <c r="A637" t="n">
        <v>32</v>
      </c>
      <c r="B637" t="n">
        <v>16</v>
      </c>
    </row>
    <row r="638">
      <c r="A638" t="n">
        <v>32</v>
      </c>
      <c r="B638" t="n">
        <v>17</v>
      </c>
    </row>
    <row r="639">
      <c r="A639" t="n">
        <v>32</v>
      </c>
      <c r="B639" t="n">
        <v>18</v>
      </c>
    </row>
    <row r="640">
      <c r="A640" t="n">
        <v>32</v>
      </c>
      <c r="B640" t="n">
        <v>19</v>
      </c>
    </row>
    <row r="641">
      <c r="A641" t="n">
        <v>32</v>
      </c>
      <c r="B641" t="n">
        <v>20</v>
      </c>
    </row>
    <row r="642">
      <c r="A642" t="n">
        <v>33</v>
      </c>
      <c r="B642" t="n">
        <v>1</v>
      </c>
      <c r="C642" t="n">
        <v>3600</v>
      </c>
      <c r="D642" t="n">
        <v>10.21</v>
      </c>
      <c r="E642" t="n">
        <v>10.26</v>
      </c>
      <c r="F642" t="n">
        <v>3600</v>
      </c>
    </row>
    <row r="643">
      <c r="A643" t="n">
        <v>33</v>
      </c>
      <c r="B643" t="n">
        <v>2</v>
      </c>
      <c r="C643" t="n">
        <v>3600</v>
      </c>
      <c r="D643" t="n">
        <v>10.2</v>
      </c>
      <c r="E643" t="n">
        <v>10.27</v>
      </c>
      <c r="F643" t="n">
        <v>3600</v>
      </c>
    </row>
    <row r="644">
      <c r="A644" t="n">
        <v>33</v>
      </c>
      <c r="B644" t="n">
        <v>3</v>
      </c>
      <c r="C644" t="n">
        <v>3600</v>
      </c>
      <c r="D644" t="n">
        <v>10.19</v>
      </c>
      <c r="E644" t="n">
        <v>10.28</v>
      </c>
      <c r="F644" t="n">
        <v>4800</v>
      </c>
    </row>
    <row r="645">
      <c r="A645" t="n">
        <v>33</v>
      </c>
      <c r="B645" t="n">
        <v>4</v>
      </c>
      <c r="C645" t="n">
        <v>3600</v>
      </c>
      <c r="D645" t="n">
        <v>10.15</v>
      </c>
      <c r="E645" t="n">
        <v>10.32</v>
      </c>
      <c r="F645" t="n">
        <v>2400</v>
      </c>
    </row>
    <row r="646">
      <c r="A646" t="n">
        <v>33</v>
      </c>
      <c r="B646" t="n">
        <v>5</v>
      </c>
      <c r="C646" t="n">
        <v>3600</v>
      </c>
      <c r="D646" t="n">
        <v>10.13</v>
      </c>
      <c r="E646" t="n">
        <v>10.34</v>
      </c>
      <c r="F646" t="n">
        <v>4800</v>
      </c>
    </row>
    <row r="647">
      <c r="A647" t="n">
        <v>33</v>
      </c>
      <c r="B647" t="n">
        <v>6</v>
      </c>
      <c r="C647" t="n">
        <v>1200</v>
      </c>
      <c r="D647" t="n">
        <v>10.11</v>
      </c>
      <c r="E647" t="n">
        <v>10.36</v>
      </c>
      <c r="F647" t="n">
        <v>2400</v>
      </c>
    </row>
    <row r="648">
      <c r="A648" t="n">
        <v>33</v>
      </c>
      <c r="B648" t="n">
        <v>7</v>
      </c>
      <c r="C648" t="n">
        <v>3600</v>
      </c>
      <c r="D648" t="n">
        <v>10.03</v>
      </c>
      <c r="E648" t="n">
        <v>10.44</v>
      </c>
      <c r="F648" t="n">
        <v>1200</v>
      </c>
    </row>
    <row r="649">
      <c r="A649" t="n">
        <v>33</v>
      </c>
      <c r="B649" t="n">
        <v>8</v>
      </c>
      <c r="C649" t="n">
        <v>4800</v>
      </c>
      <c r="D649" t="n">
        <v>10</v>
      </c>
      <c r="E649" t="n">
        <v>10.47</v>
      </c>
      <c r="F649" t="n">
        <v>2400</v>
      </c>
    </row>
    <row r="650">
      <c r="A650" t="n">
        <v>33</v>
      </c>
      <c r="B650" t="n">
        <v>9</v>
      </c>
      <c r="C650" t="n">
        <v>1200</v>
      </c>
      <c r="D650" t="n">
        <v>9.970000000000001</v>
      </c>
      <c r="E650" t="n">
        <v>10.5</v>
      </c>
      <c r="F650" t="n">
        <v>2400</v>
      </c>
    </row>
    <row r="651">
      <c r="A651" t="n">
        <v>33</v>
      </c>
      <c r="B651" t="n">
        <v>10</v>
      </c>
      <c r="C651" t="n">
        <v>3600</v>
      </c>
      <c r="D651" t="n">
        <v>9.85</v>
      </c>
      <c r="E651" t="n">
        <v>10.62</v>
      </c>
      <c r="F651" t="n">
        <v>4800</v>
      </c>
    </row>
    <row r="652">
      <c r="A652" t="n">
        <v>33</v>
      </c>
      <c r="B652" t="n">
        <v>11</v>
      </c>
    </row>
    <row r="653">
      <c r="A653" t="n">
        <v>33</v>
      </c>
      <c r="B653" t="n">
        <v>12</v>
      </c>
    </row>
    <row r="654">
      <c r="A654" t="n">
        <v>33</v>
      </c>
      <c r="B654" t="n">
        <v>13</v>
      </c>
    </row>
    <row r="655">
      <c r="A655" t="n">
        <v>33</v>
      </c>
      <c r="B655" t="n">
        <v>14</v>
      </c>
    </row>
    <row r="656">
      <c r="A656" t="n">
        <v>33</v>
      </c>
      <c r="B656" t="n">
        <v>15</v>
      </c>
    </row>
    <row r="657">
      <c r="A657" t="n">
        <v>33</v>
      </c>
      <c r="B657" t="n">
        <v>16</v>
      </c>
    </row>
    <row r="658">
      <c r="A658" t="n">
        <v>33</v>
      </c>
      <c r="B658" t="n">
        <v>17</v>
      </c>
    </row>
    <row r="659">
      <c r="A659" t="n">
        <v>33</v>
      </c>
      <c r="B659" t="n">
        <v>18</v>
      </c>
    </row>
    <row r="660">
      <c r="A660" t="n">
        <v>33</v>
      </c>
      <c r="B660" t="n">
        <v>19</v>
      </c>
    </row>
    <row r="661">
      <c r="A661" t="n">
        <v>33</v>
      </c>
      <c r="B661" t="n">
        <v>20</v>
      </c>
    </row>
    <row r="662">
      <c r="A662" t="n">
        <v>34</v>
      </c>
      <c r="B662" t="n">
        <v>1</v>
      </c>
      <c r="C662" t="n">
        <v>2400</v>
      </c>
      <c r="D662" t="n">
        <v>10.13</v>
      </c>
      <c r="E662" t="n">
        <v>10.18</v>
      </c>
      <c r="F662" t="n">
        <v>2400</v>
      </c>
    </row>
    <row r="663">
      <c r="A663" t="n">
        <v>34</v>
      </c>
      <c r="B663" t="n">
        <v>2</v>
      </c>
      <c r="C663" t="n">
        <v>3600</v>
      </c>
      <c r="D663" t="n">
        <v>10.12</v>
      </c>
      <c r="E663" t="n">
        <v>10.19</v>
      </c>
      <c r="F663" t="n">
        <v>4800</v>
      </c>
    </row>
    <row r="664">
      <c r="A664" t="n">
        <v>34</v>
      </c>
      <c r="B664" t="n">
        <v>3</v>
      </c>
      <c r="C664" t="n">
        <v>3600</v>
      </c>
      <c r="D664" t="n">
        <v>10.11</v>
      </c>
      <c r="E664" t="n">
        <v>10.2</v>
      </c>
      <c r="F664" t="n">
        <v>2400</v>
      </c>
    </row>
    <row r="665">
      <c r="A665" t="n">
        <v>34</v>
      </c>
      <c r="B665" t="n">
        <v>4</v>
      </c>
      <c r="C665" t="n">
        <v>3600</v>
      </c>
      <c r="D665" t="n">
        <v>10.07</v>
      </c>
      <c r="E665" t="n">
        <v>10.24</v>
      </c>
      <c r="F665" t="n">
        <v>4800</v>
      </c>
    </row>
    <row r="666">
      <c r="A666" t="n">
        <v>34</v>
      </c>
      <c r="B666" t="n">
        <v>5</v>
      </c>
      <c r="C666" t="n">
        <v>1200</v>
      </c>
      <c r="D666" t="n">
        <v>10.05</v>
      </c>
      <c r="E666" t="n">
        <v>10.26</v>
      </c>
      <c r="F666" t="n">
        <v>4800</v>
      </c>
    </row>
    <row r="667">
      <c r="A667" t="n">
        <v>34</v>
      </c>
      <c r="B667" t="n">
        <v>6</v>
      </c>
      <c r="C667" t="n">
        <v>1200</v>
      </c>
      <c r="D667" t="n">
        <v>10.03</v>
      </c>
      <c r="E667" t="n">
        <v>10.28</v>
      </c>
      <c r="F667" t="n">
        <v>2400</v>
      </c>
    </row>
    <row r="668">
      <c r="A668" t="n">
        <v>34</v>
      </c>
      <c r="B668" t="n">
        <v>7</v>
      </c>
      <c r="C668" t="n">
        <v>3600</v>
      </c>
      <c r="D668" t="n">
        <v>9.949999999999999</v>
      </c>
      <c r="E668" t="n">
        <v>10.36</v>
      </c>
      <c r="F668" t="n">
        <v>1200</v>
      </c>
    </row>
    <row r="669">
      <c r="A669" t="n">
        <v>34</v>
      </c>
      <c r="B669" t="n">
        <v>8</v>
      </c>
      <c r="C669" t="n">
        <v>3600</v>
      </c>
      <c r="D669" t="n">
        <v>9.92</v>
      </c>
      <c r="E669" t="n">
        <v>10.39</v>
      </c>
      <c r="F669" t="n">
        <v>2400</v>
      </c>
    </row>
    <row r="670">
      <c r="A670" t="n">
        <v>34</v>
      </c>
      <c r="B670" t="n">
        <v>9</v>
      </c>
      <c r="C670" t="n">
        <v>3600</v>
      </c>
      <c r="D670" t="n">
        <v>9.890000000000001</v>
      </c>
      <c r="E670" t="n">
        <v>10.42</v>
      </c>
      <c r="F670" t="n">
        <v>1200</v>
      </c>
    </row>
    <row r="671">
      <c r="A671" t="n">
        <v>34</v>
      </c>
      <c r="B671" t="n">
        <v>10</v>
      </c>
      <c r="C671" t="n">
        <v>1200</v>
      </c>
      <c r="D671" t="n">
        <v>9.77</v>
      </c>
      <c r="E671" t="n">
        <v>10.54</v>
      </c>
      <c r="F671" t="n">
        <v>1200</v>
      </c>
    </row>
    <row r="672">
      <c r="A672" t="n">
        <v>34</v>
      </c>
      <c r="B672" t="n">
        <v>11</v>
      </c>
    </row>
    <row r="673">
      <c r="A673" t="n">
        <v>34</v>
      </c>
      <c r="B673" t="n">
        <v>12</v>
      </c>
    </row>
    <row r="674">
      <c r="A674" t="n">
        <v>34</v>
      </c>
      <c r="B674" t="n">
        <v>13</v>
      </c>
    </row>
    <row r="675">
      <c r="A675" t="n">
        <v>34</v>
      </c>
      <c r="B675" t="n">
        <v>14</v>
      </c>
    </row>
    <row r="676">
      <c r="A676" t="n">
        <v>34</v>
      </c>
      <c r="B676" t="n">
        <v>15</v>
      </c>
    </row>
    <row r="677">
      <c r="A677" t="n">
        <v>34</v>
      </c>
      <c r="B677" t="n">
        <v>16</v>
      </c>
    </row>
    <row r="678">
      <c r="A678" t="n">
        <v>34</v>
      </c>
      <c r="B678" t="n">
        <v>17</v>
      </c>
    </row>
    <row r="679">
      <c r="A679" t="n">
        <v>34</v>
      </c>
      <c r="B679" t="n">
        <v>18</v>
      </c>
    </row>
    <row r="680">
      <c r="A680" t="n">
        <v>34</v>
      </c>
      <c r="B680" t="n">
        <v>19</v>
      </c>
    </row>
    <row r="681">
      <c r="A681" t="n">
        <v>34</v>
      </c>
      <c r="B681" t="n">
        <v>20</v>
      </c>
    </row>
    <row r="682">
      <c r="A682" t="n">
        <v>35</v>
      </c>
      <c r="B682" t="n">
        <v>1</v>
      </c>
      <c r="C682" t="n">
        <v>7680</v>
      </c>
      <c r="D682" t="n">
        <v>20.56</v>
      </c>
      <c r="E682" t="n">
        <v>20.61</v>
      </c>
      <c r="F682" t="n">
        <v>15360</v>
      </c>
    </row>
    <row r="683">
      <c r="A683" t="n">
        <v>35</v>
      </c>
      <c r="B683" t="n">
        <v>2</v>
      </c>
      <c r="C683" t="n">
        <v>23040</v>
      </c>
      <c r="D683" t="n">
        <v>20.55</v>
      </c>
      <c r="E683" t="n">
        <v>20.62</v>
      </c>
      <c r="F683" t="n">
        <v>30720</v>
      </c>
    </row>
    <row r="684">
      <c r="A684" t="n">
        <v>35</v>
      </c>
      <c r="B684" t="n">
        <v>3</v>
      </c>
      <c r="C684" t="n">
        <v>30720</v>
      </c>
      <c r="D684" t="n">
        <v>20.54</v>
      </c>
      <c r="E684" t="n">
        <v>20.63</v>
      </c>
      <c r="F684" t="n">
        <v>15360</v>
      </c>
    </row>
    <row r="685">
      <c r="A685" t="n">
        <v>35</v>
      </c>
      <c r="B685" t="n">
        <v>4</v>
      </c>
      <c r="C685" t="n">
        <v>7680</v>
      </c>
      <c r="D685" t="n">
        <v>20.5</v>
      </c>
      <c r="E685" t="n">
        <v>20.67</v>
      </c>
      <c r="F685" t="n">
        <v>23040</v>
      </c>
    </row>
    <row r="686">
      <c r="A686" t="n">
        <v>35</v>
      </c>
      <c r="B686" t="n">
        <v>5</v>
      </c>
      <c r="C686" t="n">
        <v>23040</v>
      </c>
      <c r="D686" t="n">
        <v>20.48</v>
      </c>
      <c r="E686" t="n">
        <v>20.69</v>
      </c>
      <c r="F686" t="n">
        <v>7680</v>
      </c>
    </row>
    <row r="687">
      <c r="A687" t="n">
        <v>35</v>
      </c>
      <c r="B687" t="n">
        <v>6</v>
      </c>
      <c r="C687" t="n">
        <v>15360</v>
      </c>
      <c r="D687" t="n">
        <v>20.46</v>
      </c>
      <c r="E687" t="n">
        <v>20.71</v>
      </c>
      <c r="F687" t="n">
        <v>15360</v>
      </c>
    </row>
    <row r="688">
      <c r="A688" t="n">
        <v>35</v>
      </c>
      <c r="B688" t="n">
        <v>7</v>
      </c>
      <c r="C688" t="n">
        <v>23040</v>
      </c>
      <c r="D688" t="n">
        <v>20.38</v>
      </c>
      <c r="E688" t="n">
        <v>20.79</v>
      </c>
      <c r="F688" t="n">
        <v>7680</v>
      </c>
    </row>
    <row r="689">
      <c r="A689" t="n">
        <v>35</v>
      </c>
      <c r="B689" t="n">
        <v>8</v>
      </c>
      <c r="C689" t="n">
        <v>7680</v>
      </c>
      <c r="D689" t="n">
        <v>20.35</v>
      </c>
      <c r="E689" t="n">
        <v>20.82</v>
      </c>
      <c r="F689" t="n">
        <v>23040</v>
      </c>
    </row>
    <row r="690">
      <c r="A690" t="n">
        <v>35</v>
      </c>
      <c r="B690" t="n">
        <v>9</v>
      </c>
      <c r="C690" t="n">
        <v>15360</v>
      </c>
      <c r="D690" t="n">
        <v>20.32</v>
      </c>
      <c r="E690" t="n">
        <v>20.85</v>
      </c>
      <c r="F690" t="n">
        <v>30720</v>
      </c>
    </row>
    <row r="691">
      <c r="A691" t="n">
        <v>35</v>
      </c>
      <c r="B691" t="n">
        <v>10</v>
      </c>
      <c r="C691" t="n">
        <v>30720</v>
      </c>
      <c r="D691" t="n">
        <v>20.2</v>
      </c>
      <c r="E691" t="n">
        <v>20.97</v>
      </c>
      <c r="F691" t="n">
        <v>30720</v>
      </c>
    </row>
    <row r="692">
      <c r="A692" t="n">
        <v>35</v>
      </c>
      <c r="B692" t="n">
        <v>11</v>
      </c>
    </row>
    <row r="693">
      <c r="A693" t="n">
        <v>35</v>
      </c>
      <c r="B693" t="n">
        <v>12</v>
      </c>
    </row>
    <row r="694">
      <c r="A694" t="n">
        <v>35</v>
      </c>
      <c r="B694" t="n">
        <v>13</v>
      </c>
    </row>
    <row r="695">
      <c r="A695" t="n">
        <v>35</v>
      </c>
      <c r="B695" t="n">
        <v>14</v>
      </c>
    </row>
    <row r="696">
      <c r="A696" t="n">
        <v>35</v>
      </c>
      <c r="B696" t="n">
        <v>15</v>
      </c>
    </row>
    <row r="697">
      <c r="A697" t="n">
        <v>35</v>
      </c>
      <c r="B697" t="n">
        <v>16</v>
      </c>
    </row>
    <row r="698">
      <c r="A698" t="n">
        <v>35</v>
      </c>
      <c r="B698" t="n">
        <v>17</v>
      </c>
    </row>
    <row r="699">
      <c r="A699" t="n">
        <v>35</v>
      </c>
      <c r="B699" t="n">
        <v>18</v>
      </c>
    </row>
    <row r="700">
      <c r="A700" t="n">
        <v>35</v>
      </c>
      <c r="B700" t="n">
        <v>19</v>
      </c>
    </row>
    <row r="701">
      <c r="A701" t="n">
        <v>35</v>
      </c>
      <c r="B70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0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8" t="inlineStr">
        <is>
          <t>Current tick</t>
        </is>
      </c>
      <c r="B1" s="9">
        <f>INDEX(Tenders!$J$1:$J$36,$B$13+1)</f>
        <v/>
      </c>
      <c r="G1" s="8" t="inlineStr">
        <is>
          <t>Security</t>
        </is>
      </c>
      <c r="H1" s="2" t="n">
        <v>1</v>
      </c>
      <c r="I1" s="10" t="inlineStr">
        <is>
          <t>CRZY</t>
        </is>
      </c>
      <c r="P1" s="2" t="n">
        <v>2</v>
      </c>
      <c r="Q1" s="10" t="inlineStr">
        <is>
          <t>TAME</t>
        </is>
      </c>
      <c r="X1" s="2" t="n">
        <v>3</v>
      </c>
      <c r="Y1" s="10" t="inlineStr">
        <is>
          <t>CROC</t>
        </is>
      </c>
    </row>
    <row r="2">
      <c r="A2" s="8" t="inlineStr">
        <is>
          <t>Total tick</t>
        </is>
      </c>
      <c r="B2" s="2" t="n">
        <v>420</v>
      </c>
      <c r="G2" s="11" t="n">
        <v>1</v>
      </c>
      <c r="H2" s="12">
        <f>SUM(I$2:I2)</f>
        <v/>
      </c>
      <c r="I2" s="13">
        <f>IF($B$5=$I$1,INDEX(Books!$C$1:$C$701,2+($B$13-1)*20+G2-1),0)</f>
        <v/>
      </c>
      <c r="J2" s="14">
        <f>IF($B$5=$I$1,INDEX(Books!$D$1:$D$701,2+($B$13-1)*20+G2-1),0)</f>
        <v/>
      </c>
      <c r="K2" s="14">
        <f>IF($B$5=$I$1,INDEX(Books!$E$1:$E$701,2+($B$13-1)*20+G2-1),0)</f>
        <v/>
      </c>
      <c r="L2" s="13">
        <f>IF($B$5=$I$1,INDEX(Books!$F$1:$F$701,2+($B$13-1)*20+G2-1),0)</f>
        <v/>
      </c>
      <c r="M2" s="12">
        <f>SUM(L$2:L2)</f>
        <v/>
      </c>
      <c r="O2" s="11" t="n">
        <v>1</v>
      </c>
      <c r="P2" s="12">
        <f>SUM(Q$2:Q2)</f>
        <v/>
      </c>
      <c r="Q2" s="13">
        <f>IF($B$5=$Q$1,INDEX(Books!$C$1:$C$701,2+($B$13-1)*20+O2-1),0)</f>
        <v/>
      </c>
      <c r="R2" s="14">
        <f>IF($B$5=$Q$1,INDEX(Books!$D$1:$D$701,2+($B$13-1)*20+O2-1),0)</f>
        <v/>
      </c>
      <c r="S2" s="14">
        <f>IF($B$5=$Q$1,INDEX(Books!$E$1:$E$701,2+($B$13-1)*20+O2-1),0)</f>
        <v/>
      </c>
      <c r="T2" s="13">
        <f>IF($B$5=$Q$1,INDEX(Books!$F$1:$F$701,2+($B$13-1)*20+O2-1),0)</f>
        <v/>
      </c>
      <c r="U2" s="12">
        <f>SUM(T$2:T2)</f>
        <v/>
      </c>
      <c r="W2" s="11" t="n">
        <v>1</v>
      </c>
      <c r="X2" s="12">
        <f>SUM(Y$2:Y2)</f>
        <v/>
      </c>
      <c r="Y2" s="13">
        <f>IF($B$5=$Y$1,INDEX(Books!$C$1:$C$701,2+($B$13-1)*20+W2-1),0)</f>
        <v/>
      </c>
      <c r="Z2" s="14">
        <f>IF($B$5=$Y$1,INDEX(Books!$D$1:$D$701,2+($B$13-1)*20+W2-1),0)</f>
        <v/>
      </c>
      <c r="AA2" s="14">
        <f>IF($B$5=$Y$1,INDEX(Books!$E$1:$E$701,2+($B$13-1)*20+W2-1),0)</f>
        <v/>
      </c>
      <c r="AB2" s="13">
        <f>IF($B$5=$Y$1,INDEX(Books!$F$1:$F$701,2+($B$13-1)*20+W2-1),0)</f>
        <v/>
      </c>
      <c r="AC2" s="12">
        <f>SUM(AB$2:AB2)</f>
        <v/>
      </c>
    </row>
    <row r="3">
      <c r="A3" s="15" t="inlineStr">
        <is>
          <t>Tenders</t>
        </is>
      </c>
      <c r="G3" s="11" t="n">
        <v>2</v>
      </c>
      <c r="H3" s="12">
        <f>SUM(I$2:I3)</f>
        <v/>
      </c>
      <c r="I3" s="13">
        <f>IF($B$5=$I$1,INDEX(Books!$C$1:$C$701,2+($B$13-1)*20+G3-1),0)</f>
        <v/>
      </c>
      <c r="J3" s="14">
        <f>IF($B$5=$I$1,INDEX(Books!$D$1:$D$701,2+($B$13-1)*20+G3-1),0)</f>
        <v/>
      </c>
      <c r="K3" s="14">
        <f>IF($B$5=$I$1,INDEX(Books!$E$1:$E$701,2+($B$13-1)*20+G3-1),0)</f>
        <v/>
      </c>
      <c r="L3" s="13">
        <f>IF($B$5=$I$1,INDEX(Books!$F$1:$F$701,2+($B$13-1)*20+G3-1),0)</f>
        <v/>
      </c>
      <c r="M3" s="12">
        <f>SUM(L$2:L3)</f>
        <v/>
      </c>
      <c r="O3" s="11" t="n">
        <v>2</v>
      </c>
      <c r="P3" s="12">
        <f>SUM(Q$2:Q3)</f>
        <v/>
      </c>
      <c r="Q3" s="13">
        <f>IF($B$5=$Q$1,INDEX(Books!$C$1:$C$701,2+($B$13-1)*20+O3-1),0)</f>
        <v/>
      </c>
      <c r="R3" s="14">
        <f>IF($B$5=$Q$1,INDEX(Books!$D$1:$D$701,2+($B$13-1)*20+O3-1),0)</f>
        <v/>
      </c>
      <c r="S3" s="14">
        <f>IF($B$5=$Q$1,INDEX(Books!$E$1:$E$701,2+($B$13-1)*20+O3-1),0)</f>
        <v/>
      </c>
      <c r="T3" s="13">
        <f>IF($B$5=$Q$1,INDEX(Books!$F$1:$F$701,2+($B$13-1)*20+O3-1),0)</f>
        <v/>
      </c>
      <c r="U3" s="12">
        <f>SUM(T$2:T3)</f>
        <v/>
      </c>
      <c r="W3" s="11" t="n">
        <v>2</v>
      </c>
      <c r="X3" s="12">
        <f>SUM(Y$2:Y3)</f>
        <v/>
      </c>
      <c r="Y3" s="13">
        <f>IF($B$5=$Y$1,INDEX(Books!$C$1:$C$701,2+($B$13-1)*20+W3-1),0)</f>
        <v/>
      </c>
      <c r="Z3" s="14">
        <f>IF($B$5=$Y$1,INDEX(Books!$D$1:$D$701,2+($B$13-1)*20+W3-1),0)</f>
        <v/>
      </c>
      <c r="AA3" s="14">
        <f>IF($B$5=$Y$1,INDEX(Books!$E$1:$E$701,2+($B$13-1)*20+W3-1),0)</f>
        <v/>
      </c>
      <c r="AB3" s="13">
        <f>IF($B$5=$Y$1,INDEX(Books!$F$1:$F$701,2+($B$13-1)*20+W3-1),0)</f>
        <v/>
      </c>
      <c r="AC3" s="12">
        <f>SUM(AB$2:AB3)</f>
        <v/>
      </c>
    </row>
    <row r="4">
      <c r="A4" s="16" t="inlineStr">
        <is>
          <t>Tender ID</t>
        </is>
      </c>
      <c r="B4" s="9">
        <f>INDEX(Tenders!$B$1:$B$36,$B$13+1)</f>
        <v/>
      </c>
      <c r="D4" s="11" t="inlineStr">
        <is>
          <t>Full text</t>
        </is>
      </c>
      <c r="E4" s="11">
        <f>IF(B4="","",B4&amp;","&amp;B5&amp;","&amp;B7&amp;","&amp;B8&amp;","&amp;B9&amp;","&amp;B10)</f>
        <v/>
      </c>
      <c r="G4" s="11" t="n">
        <v>3</v>
      </c>
      <c r="H4" s="12">
        <f>SUM(I$2:I4)</f>
        <v/>
      </c>
      <c r="I4" s="13">
        <f>IF($B$5=$I$1,INDEX(Books!$C$1:$C$701,2+($B$13-1)*20+G4-1),0)</f>
        <v/>
      </c>
      <c r="J4" s="14">
        <f>IF($B$5=$I$1,INDEX(Books!$D$1:$D$701,2+($B$13-1)*20+G4-1),0)</f>
        <v/>
      </c>
      <c r="K4" s="14">
        <f>IF($B$5=$I$1,INDEX(Books!$E$1:$E$701,2+($B$13-1)*20+G4-1),0)</f>
        <v/>
      </c>
      <c r="L4" s="13">
        <f>IF($B$5=$I$1,INDEX(Books!$F$1:$F$701,2+($B$13-1)*20+G4-1),0)</f>
        <v/>
      </c>
      <c r="M4" s="12">
        <f>SUM(L$2:L4)</f>
        <v/>
      </c>
      <c r="O4" s="11" t="n">
        <v>3</v>
      </c>
      <c r="P4" s="12">
        <f>SUM(Q$2:Q4)</f>
        <v/>
      </c>
      <c r="Q4" s="13">
        <f>IF($B$5=$Q$1,INDEX(Books!$C$1:$C$701,2+($B$13-1)*20+O4-1),0)</f>
        <v/>
      </c>
      <c r="R4" s="14">
        <f>IF($B$5=$Q$1,INDEX(Books!$D$1:$D$701,2+($B$13-1)*20+O4-1),0)</f>
        <v/>
      </c>
      <c r="S4" s="14">
        <f>IF($B$5=$Q$1,INDEX(Books!$E$1:$E$701,2+($B$13-1)*20+O4-1),0)</f>
        <v/>
      </c>
      <c r="T4" s="13">
        <f>IF($B$5=$Q$1,INDEX(Books!$F$1:$F$701,2+($B$13-1)*20+O4-1),0)</f>
        <v/>
      </c>
      <c r="U4" s="12">
        <f>SUM(T$2:T4)</f>
        <v/>
      </c>
      <c r="W4" s="11" t="n">
        <v>3</v>
      </c>
      <c r="X4" s="12">
        <f>SUM(Y$2:Y4)</f>
        <v/>
      </c>
      <c r="Y4" s="13">
        <f>IF($B$5=$Y$1,INDEX(Books!$C$1:$C$701,2+($B$13-1)*20+W4-1),0)</f>
        <v/>
      </c>
      <c r="Z4" s="14">
        <f>IF($B$5=$Y$1,INDEX(Books!$D$1:$D$701,2+($B$13-1)*20+W4-1),0)</f>
        <v/>
      </c>
      <c r="AA4" s="14">
        <f>IF($B$5=$Y$1,INDEX(Books!$E$1:$E$701,2+($B$13-1)*20+W4-1),0)</f>
        <v/>
      </c>
      <c r="AB4" s="13">
        <f>IF($B$5=$Y$1,INDEX(Books!$F$1:$F$701,2+($B$13-1)*20+W4-1),0)</f>
        <v/>
      </c>
      <c r="AC4" s="12">
        <f>SUM(AB$2:AB4)</f>
        <v/>
      </c>
    </row>
    <row r="5">
      <c r="A5" s="16" t="inlineStr">
        <is>
          <t>Security</t>
        </is>
      </c>
      <c r="B5" s="9">
        <f>INDEX(Tenders!$E$1:$E$36,$B$13+1)</f>
        <v/>
      </c>
      <c r="G5" s="11" t="n">
        <v>4</v>
      </c>
      <c r="H5" s="12">
        <f>SUM(I$2:I5)</f>
        <v/>
      </c>
      <c r="I5" s="13">
        <f>IF($B$5=$I$1,INDEX(Books!$C$1:$C$701,2+($B$13-1)*20+G5-1),0)</f>
        <v/>
      </c>
      <c r="J5" s="14">
        <f>IF($B$5=$I$1,INDEX(Books!$D$1:$D$701,2+($B$13-1)*20+G5-1),0)</f>
        <v/>
      </c>
      <c r="K5" s="14">
        <f>IF($B$5=$I$1,INDEX(Books!$E$1:$E$701,2+($B$13-1)*20+G5-1),0)</f>
        <v/>
      </c>
      <c r="L5" s="13">
        <f>IF($B$5=$I$1,INDEX(Books!$F$1:$F$701,2+($B$13-1)*20+G5-1),0)</f>
        <v/>
      </c>
      <c r="M5" s="12">
        <f>SUM(L$2:L5)</f>
        <v/>
      </c>
      <c r="O5" s="11" t="n">
        <v>4</v>
      </c>
      <c r="P5" s="12">
        <f>SUM(Q$2:Q5)</f>
        <v/>
      </c>
      <c r="Q5" s="13">
        <f>IF($B$5=$Q$1,INDEX(Books!$C$1:$C$701,2+($B$13-1)*20+O5-1),0)</f>
        <v/>
      </c>
      <c r="R5" s="14">
        <f>IF($B$5=$Q$1,INDEX(Books!$D$1:$D$701,2+($B$13-1)*20+O5-1),0)</f>
        <v/>
      </c>
      <c r="S5" s="14">
        <f>IF($B$5=$Q$1,INDEX(Books!$E$1:$E$701,2+($B$13-1)*20+O5-1),0)</f>
        <v/>
      </c>
      <c r="T5" s="13">
        <f>IF($B$5=$Q$1,INDEX(Books!$F$1:$F$701,2+($B$13-1)*20+O5-1),0)</f>
        <v/>
      </c>
      <c r="U5" s="12">
        <f>SUM(T$2:T5)</f>
        <v/>
      </c>
      <c r="W5" s="11" t="n">
        <v>4</v>
      </c>
      <c r="X5" s="12">
        <f>SUM(Y$2:Y5)</f>
        <v/>
      </c>
      <c r="Y5" s="13">
        <f>IF($B$5=$Y$1,INDEX(Books!$C$1:$C$701,2+($B$13-1)*20+W5-1),0)</f>
        <v/>
      </c>
      <c r="Z5" s="14">
        <f>IF($B$5=$Y$1,INDEX(Books!$D$1:$D$701,2+($B$13-1)*20+W5-1),0)</f>
        <v/>
      </c>
      <c r="AA5" s="14">
        <f>IF($B$5=$Y$1,INDEX(Books!$E$1:$E$701,2+($B$13-1)*20+W5-1),0)</f>
        <v/>
      </c>
      <c r="AB5" s="13">
        <f>IF($B$5=$Y$1,INDEX(Books!$F$1:$F$701,2+($B$13-1)*20+W5-1),0)</f>
        <v/>
      </c>
      <c r="AC5" s="12">
        <f>SUM(AB$2:AB5)</f>
        <v/>
      </c>
    </row>
    <row r="6">
      <c r="A6" s="16" t="inlineStr">
        <is>
          <t>Sec Number</t>
        </is>
      </c>
      <c r="B6" s="16">
        <f>IF(B5="","",IF(B5="CRZY",1,IF(B5="TAME",2,3)))</f>
        <v/>
      </c>
      <c r="G6" s="11" t="n">
        <v>5</v>
      </c>
      <c r="H6" s="12">
        <f>SUM(I$2:I6)</f>
        <v/>
      </c>
      <c r="I6" s="13">
        <f>IF($B$5=$I$1,INDEX(Books!$C$1:$C$701,2+($B$13-1)*20+G6-1),0)</f>
        <v/>
      </c>
      <c r="J6" s="14">
        <f>IF($B$5=$I$1,INDEX(Books!$D$1:$D$701,2+($B$13-1)*20+G6-1),0)</f>
        <v/>
      </c>
      <c r="K6" s="14">
        <f>IF($B$5=$I$1,INDEX(Books!$E$1:$E$701,2+($B$13-1)*20+G6-1),0)</f>
        <v/>
      </c>
      <c r="L6" s="13">
        <f>IF($B$5=$I$1,INDEX(Books!$F$1:$F$701,2+($B$13-1)*20+G6-1),0)</f>
        <v/>
      </c>
      <c r="M6" s="12">
        <f>SUM(L$2:L6)</f>
        <v/>
      </c>
      <c r="O6" s="11" t="n">
        <v>5</v>
      </c>
      <c r="P6" s="12">
        <f>SUM(Q$2:Q6)</f>
        <v/>
      </c>
      <c r="Q6" s="13">
        <f>IF($B$5=$Q$1,INDEX(Books!$C$1:$C$701,2+($B$13-1)*20+O6-1),0)</f>
        <v/>
      </c>
      <c r="R6" s="14">
        <f>IF($B$5=$Q$1,INDEX(Books!$D$1:$D$701,2+($B$13-1)*20+O6-1),0)</f>
        <v/>
      </c>
      <c r="S6" s="14">
        <f>IF($B$5=$Q$1,INDEX(Books!$E$1:$E$701,2+($B$13-1)*20+O6-1),0)</f>
        <v/>
      </c>
      <c r="T6" s="13">
        <f>IF($B$5=$Q$1,INDEX(Books!$F$1:$F$701,2+($B$13-1)*20+O6-1),0)</f>
        <v/>
      </c>
      <c r="U6" s="12">
        <f>SUM(T$2:T6)</f>
        <v/>
      </c>
      <c r="W6" s="11" t="n">
        <v>5</v>
      </c>
      <c r="X6" s="12">
        <f>SUM(Y$2:Y6)</f>
        <v/>
      </c>
      <c r="Y6" s="13">
        <f>IF($B$5=$Y$1,INDEX(Books!$C$1:$C$701,2+($B$13-1)*20+W6-1),0)</f>
        <v/>
      </c>
      <c r="Z6" s="14">
        <f>IF($B$5=$Y$1,INDEX(Books!$D$1:$D$701,2+($B$13-1)*20+W6-1),0)</f>
        <v/>
      </c>
      <c r="AA6" s="14">
        <f>IF($B$5=$Y$1,INDEX(Books!$E$1:$E$701,2+($B$13-1)*20+W6-1),0)</f>
        <v/>
      </c>
      <c r="AB6" s="13">
        <f>IF($B$5=$Y$1,INDEX(Books!$F$1:$F$701,2+($B$13-1)*20+W6-1),0)</f>
        <v/>
      </c>
      <c r="AC6" s="12">
        <f>SUM(AB$2:AB6)</f>
        <v/>
      </c>
    </row>
    <row r="7">
      <c r="A7" s="16" t="inlineStr">
        <is>
          <t>Volume</t>
        </is>
      </c>
      <c r="B7" s="13">
        <f>INDEX(Tenders!$F$1:$F$36,$B$13+1)</f>
        <v/>
      </c>
      <c r="C7" s="16">
        <f>IFERROR(IF(B7&gt;0,"BUY",IF(B7&lt;0,"SELL","")),"")</f>
        <v/>
      </c>
      <c r="G7" s="11" t="n">
        <v>6</v>
      </c>
      <c r="H7" s="12">
        <f>SUM(I$2:I7)</f>
        <v/>
      </c>
      <c r="I7" s="13">
        <f>IF($B$5=$I$1,INDEX(Books!$C$1:$C$701,2+($B$13-1)*20+G7-1),0)</f>
        <v/>
      </c>
      <c r="J7" s="14">
        <f>IF($B$5=$I$1,INDEX(Books!$D$1:$D$701,2+($B$13-1)*20+G7-1),0)</f>
        <v/>
      </c>
      <c r="K7" s="14">
        <f>IF($B$5=$I$1,INDEX(Books!$E$1:$E$701,2+($B$13-1)*20+G7-1),0)</f>
        <v/>
      </c>
      <c r="L7" s="13">
        <f>IF($B$5=$I$1,INDEX(Books!$F$1:$F$701,2+($B$13-1)*20+G7-1),0)</f>
        <v/>
      </c>
      <c r="M7" s="12">
        <f>SUM(L$2:L7)</f>
        <v/>
      </c>
      <c r="O7" s="11" t="n">
        <v>6</v>
      </c>
      <c r="P7" s="12">
        <f>SUM(Q$2:Q7)</f>
        <v/>
      </c>
      <c r="Q7" s="13">
        <f>IF($B$5=$Q$1,INDEX(Books!$C$1:$C$701,2+($B$13-1)*20+O7-1),0)</f>
        <v/>
      </c>
      <c r="R7" s="14">
        <f>IF($B$5=$Q$1,INDEX(Books!$D$1:$D$701,2+($B$13-1)*20+O7-1),0)</f>
        <v/>
      </c>
      <c r="S7" s="14">
        <f>IF($B$5=$Q$1,INDEX(Books!$E$1:$E$701,2+($B$13-1)*20+O7-1),0)</f>
        <v/>
      </c>
      <c r="T7" s="13">
        <f>IF($B$5=$Q$1,INDEX(Books!$F$1:$F$701,2+($B$13-1)*20+O7-1),0)</f>
        <v/>
      </c>
      <c r="U7" s="12">
        <f>SUM(T$2:T7)</f>
        <v/>
      </c>
      <c r="W7" s="11" t="n">
        <v>6</v>
      </c>
      <c r="X7" s="12">
        <f>SUM(Y$2:Y7)</f>
        <v/>
      </c>
      <c r="Y7" s="13">
        <f>IF($B$5=$Y$1,INDEX(Books!$C$1:$C$701,2+($B$13-1)*20+W7-1),0)</f>
        <v/>
      </c>
      <c r="Z7" s="14">
        <f>IF($B$5=$Y$1,INDEX(Books!$D$1:$D$701,2+($B$13-1)*20+W7-1),0)</f>
        <v/>
      </c>
      <c r="AA7" s="14">
        <f>IF($B$5=$Y$1,INDEX(Books!$E$1:$E$701,2+($B$13-1)*20+W7-1),0)</f>
        <v/>
      </c>
      <c r="AB7" s="13">
        <f>IF($B$5=$Y$1,INDEX(Books!$F$1:$F$701,2+($B$13-1)*20+W7-1),0)</f>
        <v/>
      </c>
      <c r="AC7" s="12">
        <f>SUM(AB$2:AB7)</f>
        <v/>
      </c>
    </row>
    <row r="8">
      <c r="A8" s="16" t="inlineStr">
        <is>
          <t>Price</t>
        </is>
      </c>
      <c r="B8" s="14">
        <f>IF(INDEX(Tenders!$G$1:$G$36,$B$13+1)="","",INDEX(Tenders!$G$1:$G$36,$B$13+1))</f>
        <v/>
      </c>
      <c r="G8" s="11" t="n">
        <v>7</v>
      </c>
      <c r="H8" s="12">
        <f>SUM(I$2:I8)</f>
        <v/>
      </c>
      <c r="I8" s="13">
        <f>IF($B$5=$I$1,INDEX(Books!$C$1:$C$701,2+($B$13-1)*20+G8-1),0)</f>
        <v/>
      </c>
      <c r="J8" s="14">
        <f>IF($B$5=$I$1,INDEX(Books!$D$1:$D$701,2+($B$13-1)*20+G8-1),0)</f>
        <v/>
      </c>
      <c r="K8" s="14">
        <f>IF($B$5=$I$1,INDEX(Books!$E$1:$E$701,2+($B$13-1)*20+G8-1),0)</f>
        <v/>
      </c>
      <c r="L8" s="13">
        <f>IF($B$5=$I$1,INDEX(Books!$F$1:$F$701,2+($B$13-1)*20+G8-1),0)</f>
        <v/>
      </c>
      <c r="M8" s="12">
        <f>SUM(L$2:L8)</f>
        <v/>
      </c>
      <c r="O8" s="11" t="n">
        <v>7</v>
      </c>
      <c r="P8" s="12">
        <f>SUM(Q$2:Q8)</f>
        <v/>
      </c>
      <c r="Q8" s="13">
        <f>IF($B$5=$Q$1,INDEX(Books!$C$1:$C$701,2+($B$13-1)*20+O8-1),0)</f>
        <v/>
      </c>
      <c r="R8" s="14">
        <f>IF($B$5=$Q$1,INDEX(Books!$D$1:$D$701,2+($B$13-1)*20+O8-1),0)</f>
        <v/>
      </c>
      <c r="S8" s="14">
        <f>IF($B$5=$Q$1,INDEX(Books!$E$1:$E$701,2+($B$13-1)*20+O8-1),0)</f>
        <v/>
      </c>
      <c r="T8" s="13">
        <f>IF($B$5=$Q$1,INDEX(Books!$F$1:$F$701,2+($B$13-1)*20+O8-1),0)</f>
        <v/>
      </c>
      <c r="U8" s="12">
        <f>SUM(T$2:T8)</f>
        <v/>
      </c>
      <c r="W8" s="11" t="n">
        <v>7</v>
      </c>
      <c r="X8" s="12">
        <f>SUM(Y$2:Y8)</f>
        <v/>
      </c>
      <c r="Y8" s="13">
        <f>IF($B$5=$Y$1,INDEX(Books!$C$1:$C$701,2+($B$13-1)*20+W8-1),0)</f>
        <v/>
      </c>
      <c r="Z8" s="14">
        <f>IF($B$5=$Y$1,INDEX(Books!$D$1:$D$701,2+($B$13-1)*20+W8-1),0)</f>
        <v/>
      </c>
      <c r="AA8" s="14">
        <f>IF($B$5=$Y$1,INDEX(Books!$E$1:$E$701,2+($B$13-1)*20+W8-1),0)</f>
        <v/>
      </c>
      <c r="AB8" s="13">
        <f>IF($B$5=$Y$1,INDEX(Books!$F$1:$F$701,2+($B$13-1)*20+W8-1),0)</f>
        <v/>
      </c>
      <c r="AC8" s="12">
        <f>SUM(AB$2:AB8)</f>
        <v/>
      </c>
    </row>
    <row r="9">
      <c r="A9" s="16" t="inlineStr">
        <is>
          <t>Tick received</t>
        </is>
      </c>
      <c r="B9" s="9">
        <f>INDEX(Tenders!$H$1:$H$36,$B$13+1)</f>
        <v/>
      </c>
      <c r="G9" s="11" t="n">
        <v>8</v>
      </c>
      <c r="H9" s="12">
        <f>SUM(I$2:I9)</f>
        <v/>
      </c>
      <c r="I9" s="13">
        <f>IF($B$5=$I$1,INDEX(Books!$C$1:$C$701,2+($B$13-1)*20+G9-1),0)</f>
        <v/>
      </c>
      <c r="J9" s="14">
        <f>IF($B$5=$I$1,INDEX(Books!$D$1:$D$701,2+($B$13-1)*20+G9-1),0)</f>
        <v/>
      </c>
      <c r="K9" s="14">
        <f>IF($B$5=$I$1,INDEX(Books!$E$1:$E$701,2+($B$13-1)*20+G9-1),0)</f>
        <v/>
      </c>
      <c r="L9" s="13">
        <f>IF($B$5=$I$1,INDEX(Books!$F$1:$F$701,2+($B$13-1)*20+G9-1),0)</f>
        <v/>
      </c>
      <c r="M9" s="12">
        <f>SUM(L$2:L9)</f>
        <v/>
      </c>
      <c r="O9" s="11" t="n">
        <v>8</v>
      </c>
      <c r="P9" s="12">
        <f>SUM(Q$2:Q9)</f>
        <v/>
      </c>
      <c r="Q9" s="13">
        <f>IF($B$5=$Q$1,INDEX(Books!$C$1:$C$701,2+($B$13-1)*20+O9-1),0)</f>
        <v/>
      </c>
      <c r="R9" s="14">
        <f>IF($B$5=$Q$1,INDEX(Books!$D$1:$D$701,2+($B$13-1)*20+O9-1),0)</f>
        <v/>
      </c>
      <c r="S9" s="14">
        <f>IF($B$5=$Q$1,INDEX(Books!$E$1:$E$701,2+($B$13-1)*20+O9-1),0)</f>
        <v/>
      </c>
      <c r="T9" s="13">
        <f>IF($B$5=$Q$1,INDEX(Books!$F$1:$F$701,2+($B$13-1)*20+O9-1),0)</f>
        <v/>
      </c>
      <c r="U9" s="12">
        <f>SUM(T$2:T9)</f>
        <v/>
      </c>
      <c r="W9" s="11" t="n">
        <v>8</v>
      </c>
      <c r="X9" s="12">
        <f>SUM(Y$2:Y9)</f>
        <v/>
      </c>
      <c r="Y9" s="13">
        <f>IF($B$5=$Y$1,INDEX(Books!$C$1:$C$701,2+($B$13-1)*20+W9-1),0)</f>
        <v/>
      </c>
      <c r="Z9" s="14">
        <f>IF($B$5=$Y$1,INDEX(Books!$D$1:$D$701,2+($B$13-1)*20+W9-1),0)</f>
        <v/>
      </c>
      <c r="AA9" s="14">
        <f>IF($B$5=$Y$1,INDEX(Books!$E$1:$E$701,2+($B$13-1)*20+W9-1),0)</f>
        <v/>
      </c>
      <c r="AB9" s="13">
        <f>IF($B$5=$Y$1,INDEX(Books!$F$1:$F$701,2+($B$13-1)*20+W9-1),0)</f>
        <v/>
      </c>
      <c r="AC9" s="12">
        <f>SUM(AB$2:AB9)</f>
        <v/>
      </c>
    </row>
    <row r="10">
      <c r="A10" s="16" t="inlineStr">
        <is>
          <t>Tick expired</t>
        </is>
      </c>
      <c r="B10" s="9">
        <f>INDEX(Tenders!$I$1:$I$36,$B$13+1)</f>
        <v/>
      </c>
      <c r="G10" s="11" t="n">
        <v>9</v>
      </c>
      <c r="H10" s="12">
        <f>SUM(I$2:I10)</f>
        <v/>
      </c>
      <c r="I10" s="13">
        <f>IF($B$5=$I$1,INDEX(Books!$C$1:$C$701,2+($B$13-1)*20+G10-1),0)</f>
        <v/>
      </c>
      <c r="J10" s="14">
        <f>IF($B$5=$I$1,INDEX(Books!$D$1:$D$701,2+($B$13-1)*20+G10-1),0)</f>
        <v/>
      </c>
      <c r="K10" s="14">
        <f>IF($B$5=$I$1,INDEX(Books!$E$1:$E$701,2+($B$13-1)*20+G10-1),0)</f>
        <v/>
      </c>
      <c r="L10" s="13">
        <f>IF($B$5=$I$1,INDEX(Books!$F$1:$F$701,2+($B$13-1)*20+G10-1),0)</f>
        <v/>
      </c>
      <c r="M10" s="12">
        <f>SUM(L$2:L10)</f>
        <v/>
      </c>
      <c r="O10" s="11" t="n">
        <v>9</v>
      </c>
      <c r="P10" s="12">
        <f>SUM(Q$2:Q10)</f>
        <v/>
      </c>
      <c r="Q10" s="13">
        <f>IF($B$5=$Q$1,INDEX(Books!$C$1:$C$701,2+($B$13-1)*20+O10-1),0)</f>
        <v/>
      </c>
      <c r="R10" s="14">
        <f>IF($B$5=$Q$1,INDEX(Books!$D$1:$D$701,2+($B$13-1)*20+O10-1),0)</f>
        <v/>
      </c>
      <c r="S10" s="14">
        <f>IF($B$5=$Q$1,INDEX(Books!$E$1:$E$701,2+($B$13-1)*20+O10-1),0)</f>
        <v/>
      </c>
      <c r="T10" s="13">
        <f>IF($B$5=$Q$1,INDEX(Books!$F$1:$F$701,2+($B$13-1)*20+O10-1),0)</f>
        <v/>
      </c>
      <c r="U10" s="12">
        <f>SUM(T$2:T10)</f>
        <v/>
      </c>
      <c r="W10" s="11" t="n">
        <v>9</v>
      </c>
      <c r="X10" s="12">
        <f>SUM(Y$2:Y10)</f>
        <v/>
      </c>
      <c r="Y10" s="13">
        <f>IF($B$5=$Y$1,INDEX(Books!$C$1:$C$701,2+($B$13-1)*20+W10-1),0)</f>
        <v/>
      </c>
      <c r="Z10" s="14">
        <f>IF($B$5=$Y$1,INDEX(Books!$D$1:$D$701,2+($B$13-1)*20+W10-1),0)</f>
        <v/>
      </c>
      <c r="AA10" s="14">
        <f>IF($B$5=$Y$1,INDEX(Books!$E$1:$E$701,2+($B$13-1)*20+W10-1),0)</f>
        <v/>
      </c>
      <c r="AB10" s="13">
        <f>IF($B$5=$Y$1,INDEX(Books!$F$1:$F$701,2+($B$13-1)*20+W10-1),0)</f>
        <v/>
      </c>
      <c r="AC10" s="12">
        <f>SUM(AB$2:AB10)</f>
        <v/>
      </c>
    </row>
    <row r="11">
      <c r="A11" s="16" t="inlineStr">
        <is>
          <t>Ticks left to decide</t>
        </is>
      </c>
      <c r="B11" s="16">
        <f>IF(OR(B10="",B1=""),"",B10-B1)</f>
        <v/>
      </c>
      <c r="G11" s="11" t="n">
        <v>10</v>
      </c>
      <c r="H11" s="12">
        <f>SUM(I$2:I11)</f>
        <v/>
      </c>
      <c r="I11" s="13">
        <f>IF($B$5=$I$1,INDEX(Books!$C$1:$C$701,2+($B$13-1)*20+G11-1),0)</f>
        <v/>
      </c>
      <c r="J11" s="14">
        <f>IF($B$5=$I$1,INDEX(Books!$D$1:$D$701,2+($B$13-1)*20+G11-1),0)</f>
        <v/>
      </c>
      <c r="K11" s="14">
        <f>IF($B$5=$I$1,INDEX(Books!$E$1:$E$701,2+($B$13-1)*20+G11-1),0)</f>
        <v/>
      </c>
      <c r="L11" s="13">
        <f>IF($B$5=$I$1,INDEX(Books!$F$1:$F$701,2+($B$13-1)*20+G11-1),0)</f>
        <v/>
      </c>
      <c r="M11" s="12">
        <f>SUM(L$2:L11)</f>
        <v/>
      </c>
      <c r="O11" s="11" t="n">
        <v>10</v>
      </c>
      <c r="P11" s="12">
        <f>SUM(Q$2:Q11)</f>
        <v/>
      </c>
      <c r="Q11" s="13">
        <f>IF($B$5=$Q$1,INDEX(Books!$C$1:$C$701,2+($B$13-1)*20+O11-1),0)</f>
        <v/>
      </c>
      <c r="R11" s="14">
        <f>IF($B$5=$Q$1,INDEX(Books!$D$1:$D$701,2+($B$13-1)*20+O11-1),0)</f>
        <v/>
      </c>
      <c r="S11" s="14">
        <f>IF($B$5=$Q$1,INDEX(Books!$E$1:$E$701,2+($B$13-1)*20+O11-1),0)</f>
        <v/>
      </c>
      <c r="T11" s="13">
        <f>IF($B$5=$Q$1,INDEX(Books!$F$1:$F$701,2+($B$13-1)*20+O11-1),0)</f>
        <v/>
      </c>
      <c r="U11" s="12">
        <f>SUM(T$2:T11)</f>
        <v/>
      </c>
      <c r="W11" s="11" t="n">
        <v>10</v>
      </c>
      <c r="X11" s="12">
        <f>SUM(Y$2:Y11)</f>
        <v/>
      </c>
      <c r="Y11" s="13">
        <f>IF($B$5=$Y$1,INDEX(Books!$C$1:$C$701,2+($B$13-1)*20+W11-1),0)</f>
        <v/>
      </c>
      <c r="Z11" s="14">
        <f>IF($B$5=$Y$1,INDEX(Books!$D$1:$D$701,2+($B$13-1)*20+W11-1),0)</f>
        <v/>
      </c>
      <c r="AA11" s="14">
        <f>IF($B$5=$Y$1,INDEX(Books!$E$1:$E$701,2+($B$13-1)*20+W11-1),0)</f>
        <v/>
      </c>
      <c r="AB11" s="13">
        <f>IF($B$5=$Y$1,INDEX(Books!$F$1:$F$701,2+($B$13-1)*20+W11-1),0)</f>
        <v/>
      </c>
      <c r="AC11" s="12">
        <f>SUM(AB$2:AB11)</f>
        <v/>
      </c>
    </row>
    <row r="12">
      <c r="G12" s="11" t="n">
        <v>11</v>
      </c>
      <c r="H12" s="12">
        <f>SUM(I$2:I12)</f>
        <v/>
      </c>
      <c r="I12" s="13">
        <f>IF($B$5=$I$1,INDEX(Books!$C$1:$C$701,2+($B$13-1)*20+G12-1),0)</f>
        <v/>
      </c>
      <c r="J12" s="14">
        <f>IF($B$5=$I$1,INDEX(Books!$D$1:$D$701,2+($B$13-1)*20+G12-1),0)</f>
        <v/>
      </c>
      <c r="K12" s="14">
        <f>IF($B$5=$I$1,INDEX(Books!$E$1:$E$701,2+($B$13-1)*20+G12-1),0)</f>
        <v/>
      </c>
      <c r="L12" s="13">
        <f>IF($B$5=$I$1,INDEX(Books!$F$1:$F$701,2+($B$13-1)*20+G12-1),0)</f>
        <v/>
      </c>
      <c r="M12" s="12">
        <f>SUM(L$2:L12)</f>
        <v/>
      </c>
      <c r="O12" s="11" t="n">
        <v>11</v>
      </c>
      <c r="P12" s="12">
        <f>SUM(Q$2:Q12)</f>
        <v/>
      </c>
      <c r="Q12" s="13">
        <f>IF($B$5=$Q$1,INDEX(Books!$C$1:$C$701,2+($B$13-1)*20+O12-1),0)</f>
        <v/>
      </c>
      <c r="R12" s="14">
        <f>IF($B$5=$Q$1,INDEX(Books!$D$1:$D$701,2+($B$13-1)*20+O12-1),0)</f>
        <v/>
      </c>
      <c r="S12" s="14">
        <f>IF($B$5=$Q$1,INDEX(Books!$E$1:$E$701,2+($B$13-1)*20+O12-1),0)</f>
        <v/>
      </c>
      <c r="T12" s="13">
        <f>IF($B$5=$Q$1,INDEX(Books!$F$1:$F$701,2+($B$13-1)*20+O12-1),0)</f>
        <v/>
      </c>
      <c r="U12" s="12">
        <f>SUM(T$2:T12)</f>
        <v/>
      </c>
      <c r="W12" s="11" t="n">
        <v>11</v>
      </c>
      <c r="X12" s="12">
        <f>SUM(Y$2:Y12)</f>
        <v/>
      </c>
      <c r="Y12" s="13">
        <f>IF($B$5=$Y$1,INDEX(Books!$C$1:$C$701,2+($B$13-1)*20+W12-1),0)</f>
        <v/>
      </c>
      <c r="Z12" s="14">
        <f>IF($B$5=$Y$1,INDEX(Books!$D$1:$D$701,2+($B$13-1)*20+W12-1),0)</f>
        <v/>
      </c>
      <c r="AA12" s="14">
        <f>IF($B$5=$Y$1,INDEX(Books!$E$1:$E$701,2+($B$13-1)*20+W12-1),0)</f>
        <v/>
      </c>
      <c r="AB12" s="13">
        <f>IF($B$5=$Y$1,INDEX(Books!$F$1:$F$701,2+($B$13-1)*20+W12-1),0)</f>
        <v/>
      </c>
      <c r="AC12" s="12">
        <f>SUM(AB$2:AB12)</f>
        <v/>
      </c>
    </row>
    <row r="13">
      <c r="A13" s="8" t="inlineStr">
        <is>
          <t>Show Tenders row (type a number)</t>
        </is>
      </c>
      <c r="B13" s="17" t="n">
        <v>1</v>
      </c>
      <c r="G13" s="11" t="n">
        <v>12</v>
      </c>
      <c r="H13" s="12">
        <f>SUM(I$2:I13)</f>
        <v/>
      </c>
      <c r="I13" s="13">
        <f>IF($B$5=$I$1,INDEX(Books!$C$1:$C$701,2+($B$13-1)*20+G13-1),0)</f>
        <v/>
      </c>
      <c r="J13" s="14">
        <f>IF($B$5=$I$1,INDEX(Books!$D$1:$D$701,2+($B$13-1)*20+G13-1),0)</f>
        <v/>
      </c>
      <c r="K13" s="14">
        <f>IF($B$5=$I$1,INDEX(Books!$E$1:$E$701,2+($B$13-1)*20+G13-1),0)</f>
        <v/>
      </c>
      <c r="L13" s="13">
        <f>IF($B$5=$I$1,INDEX(Books!$F$1:$F$701,2+($B$13-1)*20+G13-1),0)</f>
        <v/>
      </c>
      <c r="M13" s="12">
        <f>SUM(L$2:L13)</f>
        <v/>
      </c>
      <c r="O13" s="11" t="n">
        <v>12</v>
      </c>
      <c r="P13" s="12">
        <f>SUM(Q$2:Q13)</f>
        <v/>
      </c>
      <c r="Q13" s="13">
        <f>IF($B$5=$Q$1,INDEX(Books!$C$1:$C$701,2+($B$13-1)*20+O13-1),0)</f>
        <v/>
      </c>
      <c r="R13" s="14">
        <f>IF($B$5=$Q$1,INDEX(Books!$D$1:$D$701,2+($B$13-1)*20+O13-1),0)</f>
        <v/>
      </c>
      <c r="S13" s="14">
        <f>IF($B$5=$Q$1,INDEX(Books!$E$1:$E$701,2+($B$13-1)*20+O13-1),0)</f>
        <v/>
      </c>
      <c r="T13" s="13">
        <f>IF($B$5=$Q$1,INDEX(Books!$F$1:$F$701,2+($B$13-1)*20+O13-1),0)</f>
        <v/>
      </c>
      <c r="U13" s="12">
        <f>SUM(T$2:T13)</f>
        <v/>
      </c>
      <c r="W13" s="11" t="n">
        <v>12</v>
      </c>
      <c r="X13" s="12">
        <f>SUM(Y$2:Y13)</f>
        <v/>
      </c>
      <c r="Y13" s="13">
        <f>IF($B$5=$Y$1,INDEX(Books!$C$1:$C$701,2+($B$13-1)*20+W13-1),0)</f>
        <v/>
      </c>
      <c r="Z13" s="14">
        <f>IF($B$5=$Y$1,INDEX(Books!$D$1:$D$701,2+($B$13-1)*20+W13-1),0)</f>
        <v/>
      </c>
      <c r="AA13" s="14">
        <f>IF($B$5=$Y$1,INDEX(Books!$E$1:$E$701,2+($B$13-1)*20+W13-1),0)</f>
        <v/>
      </c>
      <c r="AB13" s="13">
        <f>IF($B$5=$Y$1,INDEX(Books!$F$1:$F$701,2+($B$13-1)*20+W13-1),0)</f>
        <v/>
      </c>
      <c r="AC13" s="12">
        <f>SUM(AB$2:AB13)</f>
        <v/>
      </c>
    </row>
    <row r="14">
      <c r="A14" s="16" t="inlineStr">
        <is>
          <t>Source / seed of that row</t>
        </is>
      </c>
      <c r="B14" s="9">
        <f>INDEX(Tenders!$Z$1:$Z$36,$B$13+1)&amp;" / seed "&amp;INDEX(Tenders!$X$1:$X$36,$B$13+1)</f>
        <v/>
      </c>
      <c r="G14" s="11" t="n">
        <v>13</v>
      </c>
      <c r="H14" s="12">
        <f>SUM(I$2:I14)</f>
        <v/>
      </c>
      <c r="I14" s="13">
        <f>IF($B$5=$I$1,INDEX(Books!$C$1:$C$701,2+($B$13-1)*20+G14-1),0)</f>
        <v/>
      </c>
      <c r="J14" s="14">
        <f>IF($B$5=$I$1,INDEX(Books!$D$1:$D$701,2+($B$13-1)*20+G14-1),0)</f>
        <v/>
      </c>
      <c r="K14" s="14">
        <f>IF($B$5=$I$1,INDEX(Books!$E$1:$E$701,2+($B$13-1)*20+G14-1),0)</f>
        <v/>
      </c>
      <c r="L14" s="13">
        <f>IF($B$5=$I$1,INDEX(Books!$F$1:$F$701,2+($B$13-1)*20+G14-1),0)</f>
        <v/>
      </c>
      <c r="M14" s="12">
        <f>SUM(L$2:L14)</f>
        <v/>
      </c>
      <c r="O14" s="11" t="n">
        <v>13</v>
      </c>
      <c r="P14" s="12">
        <f>SUM(Q$2:Q14)</f>
        <v/>
      </c>
      <c r="Q14" s="13">
        <f>IF($B$5=$Q$1,INDEX(Books!$C$1:$C$701,2+($B$13-1)*20+O14-1),0)</f>
        <v/>
      </c>
      <c r="R14" s="14">
        <f>IF($B$5=$Q$1,INDEX(Books!$D$1:$D$701,2+($B$13-1)*20+O14-1),0)</f>
        <v/>
      </c>
      <c r="S14" s="14">
        <f>IF($B$5=$Q$1,INDEX(Books!$E$1:$E$701,2+($B$13-1)*20+O14-1),0)</f>
        <v/>
      </c>
      <c r="T14" s="13">
        <f>IF($B$5=$Q$1,INDEX(Books!$F$1:$F$701,2+($B$13-1)*20+O14-1),0)</f>
        <v/>
      </c>
      <c r="U14" s="12">
        <f>SUM(T$2:T14)</f>
        <v/>
      </c>
      <c r="W14" s="11" t="n">
        <v>13</v>
      </c>
      <c r="X14" s="12">
        <f>SUM(Y$2:Y14)</f>
        <v/>
      </c>
      <c r="Y14" s="13">
        <f>IF($B$5=$Y$1,INDEX(Books!$C$1:$C$701,2+($B$13-1)*20+W14-1),0)</f>
        <v/>
      </c>
      <c r="Z14" s="14">
        <f>IF($B$5=$Y$1,INDEX(Books!$D$1:$D$701,2+($B$13-1)*20+W14-1),0)</f>
        <v/>
      </c>
      <c r="AA14" s="14">
        <f>IF($B$5=$Y$1,INDEX(Books!$E$1:$E$701,2+($B$13-1)*20+W14-1),0)</f>
        <v/>
      </c>
      <c r="AB14" s="13">
        <f>IF($B$5=$Y$1,INDEX(Books!$F$1:$F$701,2+($B$13-1)*20+W14-1),0)</f>
        <v/>
      </c>
      <c r="AC14" s="12">
        <f>SUM(AB$2:AB14)</f>
        <v/>
      </c>
    </row>
    <row r="15">
      <c r="G15" s="11" t="n">
        <v>14</v>
      </c>
      <c r="H15" s="12">
        <f>SUM(I$2:I15)</f>
        <v/>
      </c>
      <c r="I15" s="13">
        <f>IF($B$5=$I$1,INDEX(Books!$C$1:$C$701,2+($B$13-1)*20+G15-1),0)</f>
        <v/>
      </c>
      <c r="J15" s="14">
        <f>IF($B$5=$I$1,INDEX(Books!$D$1:$D$701,2+($B$13-1)*20+G15-1),0)</f>
        <v/>
      </c>
      <c r="K15" s="14">
        <f>IF($B$5=$I$1,INDEX(Books!$E$1:$E$701,2+($B$13-1)*20+G15-1),0)</f>
        <v/>
      </c>
      <c r="L15" s="13">
        <f>IF($B$5=$I$1,INDEX(Books!$F$1:$F$701,2+($B$13-1)*20+G15-1),0)</f>
        <v/>
      </c>
      <c r="M15" s="12">
        <f>SUM(L$2:L15)</f>
        <v/>
      </c>
      <c r="O15" s="11" t="n">
        <v>14</v>
      </c>
      <c r="P15" s="12">
        <f>SUM(Q$2:Q15)</f>
        <v/>
      </c>
      <c r="Q15" s="13">
        <f>IF($B$5=$Q$1,INDEX(Books!$C$1:$C$701,2+($B$13-1)*20+O15-1),0)</f>
        <v/>
      </c>
      <c r="R15" s="14">
        <f>IF($B$5=$Q$1,INDEX(Books!$D$1:$D$701,2+($B$13-1)*20+O15-1),0)</f>
        <v/>
      </c>
      <c r="S15" s="14">
        <f>IF($B$5=$Q$1,INDEX(Books!$E$1:$E$701,2+($B$13-1)*20+O15-1),0)</f>
        <v/>
      </c>
      <c r="T15" s="13">
        <f>IF($B$5=$Q$1,INDEX(Books!$F$1:$F$701,2+($B$13-1)*20+O15-1),0)</f>
        <v/>
      </c>
      <c r="U15" s="12">
        <f>SUM(T$2:T15)</f>
        <v/>
      </c>
      <c r="W15" s="11" t="n">
        <v>14</v>
      </c>
      <c r="X15" s="12">
        <f>SUM(Y$2:Y15)</f>
        <v/>
      </c>
      <c r="Y15" s="13">
        <f>IF($B$5=$Y$1,INDEX(Books!$C$1:$C$701,2+($B$13-1)*20+W15-1),0)</f>
        <v/>
      </c>
      <c r="Z15" s="14">
        <f>IF($B$5=$Y$1,INDEX(Books!$D$1:$D$701,2+($B$13-1)*20+W15-1),0)</f>
        <v/>
      </c>
      <c r="AA15" s="14">
        <f>IF($B$5=$Y$1,INDEX(Books!$E$1:$E$701,2+($B$13-1)*20+W15-1),0)</f>
        <v/>
      </c>
      <c r="AB15" s="13">
        <f>IF($B$5=$Y$1,INDEX(Books!$F$1:$F$701,2+($B$13-1)*20+W15-1),0)</f>
        <v/>
      </c>
      <c r="AC15" s="12">
        <f>SUM(AB$2:AB15)</f>
        <v/>
      </c>
    </row>
    <row r="16">
      <c r="G16" s="11" t="n">
        <v>15</v>
      </c>
      <c r="H16" s="12">
        <f>SUM(I$2:I16)</f>
        <v/>
      </c>
      <c r="I16" s="13">
        <f>IF($B$5=$I$1,INDEX(Books!$C$1:$C$701,2+($B$13-1)*20+G16-1),0)</f>
        <v/>
      </c>
      <c r="J16" s="14">
        <f>IF($B$5=$I$1,INDEX(Books!$D$1:$D$701,2+($B$13-1)*20+G16-1),0)</f>
        <v/>
      </c>
      <c r="K16" s="14">
        <f>IF($B$5=$I$1,INDEX(Books!$E$1:$E$701,2+($B$13-1)*20+G16-1),0)</f>
        <v/>
      </c>
      <c r="L16" s="13">
        <f>IF($B$5=$I$1,INDEX(Books!$F$1:$F$701,2+($B$13-1)*20+G16-1),0)</f>
        <v/>
      </c>
      <c r="M16" s="12">
        <f>SUM(L$2:L16)</f>
        <v/>
      </c>
      <c r="O16" s="11" t="n">
        <v>15</v>
      </c>
      <c r="P16" s="12">
        <f>SUM(Q$2:Q16)</f>
        <v/>
      </c>
      <c r="Q16" s="13">
        <f>IF($B$5=$Q$1,INDEX(Books!$C$1:$C$701,2+($B$13-1)*20+O16-1),0)</f>
        <v/>
      </c>
      <c r="R16" s="14">
        <f>IF($B$5=$Q$1,INDEX(Books!$D$1:$D$701,2+($B$13-1)*20+O16-1),0)</f>
        <v/>
      </c>
      <c r="S16" s="14">
        <f>IF($B$5=$Q$1,INDEX(Books!$E$1:$E$701,2+($B$13-1)*20+O16-1),0)</f>
        <v/>
      </c>
      <c r="T16" s="13">
        <f>IF($B$5=$Q$1,INDEX(Books!$F$1:$F$701,2+($B$13-1)*20+O16-1),0)</f>
        <v/>
      </c>
      <c r="U16" s="12">
        <f>SUM(T$2:T16)</f>
        <v/>
      </c>
      <c r="W16" s="11" t="n">
        <v>15</v>
      </c>
      <c r="X16" s="12">
        <f>SUM(Y$2:Y16)</f>
        <v/>
      </c>
      <c r="Y16" s="13">
        <f>IF($B$5=$Y$1,INDEX(Books!$C$1:$C$701,2+($B$13-1)*20+W16-1),0)</f>
        <v/>
      </c>
      <c r="Z16" s="14">
        <f>IF($B$5=$Y$1,INDEX(Books!$D$1:$D$701,2+($B$13-1)*20+W16-1),0)</f>
        <v/>
      </c>
      <c r="AA16" s="14">
        <f>IF($B$5=$Y$1,INDEX(Books!$E$1:$E$701,2+($B$13-1)*20+W16-1),0)</f>
        <v/>
      </c>
      <c r="AB16" s="13">
        <f>IF($B$5=$Y$1,INDEX(Books!$F$1:$F$701,2+($B$13-1)*20+W16-1),0)</f>
        <v/>
      </c>
      <c r="AC16" s="12">
        <f>SUM(AB$2:AB16)</f>
        <v/>
      </c>
    </row>
    <row r="17">
      <c r="G17" s="11" t="n">
        <v>16</v>
      </c>
      <c r="H17" s="12">
        <f>SUM(I$2:I17)</f>
        <v/>
      </c>
      <c r="I17" s="13">
        <f>IF($B$5=$I$1,INDEX(Books!$C$1:$C$701,2+($B$13-1)*20+G17-1),0)</f>
        <v/>
      </c>
      <c r="J17" s="14">
        <f>IF($B$5=$I$1,INDEX(Books!$D$1:$D$701,2+($B$13-1)*20+G17-1),0)</f>
        <v/>
      </c>
      <c r="K17" s="14">
        <f>IF($B$5=$I$1,INDEX(Books!$E$1:$E$701,2+($B$13-1)*20+G17-1),0)</f>
        <v/>
      </c>
      <c r="L17" s="13">
        <f>IF($B$5=$I$1,INDEX(Books!$F$1:$F$701,2+($B$13-1)*20+G17-1),0)</f>
        <v/>
      </c>
      <c r="M17" s="12">
        <f>SUM(L$2:L17)</f>
        <v/>
      </c>
      <c r="O17" s="11" t="n">
        <v>16</v>
      </c>
      <c r="P17" s="12">
        <f>SUM(Q$2:Q17)</f>
        <v/>
      </c>
      <c r="Q17" s="13">
        <f>IF($B$5=$Q$1,INDEX(Books!$C$1:$C$701,2+($B$13-1)*20+O17-1),0)</f>
        <v/>
      </c>
      <c r="R17" s="14">
        <f>IF($B$5=$Q$1,INDEX(Books!$D$1:$D$701,2+($B$13-1)*20+O17-1),0)</f>
        <v/>
      </c>
      <c r="S17" s="14">
        <f>IF($B$5=$Q$1,INDEX(Books!$E$1:$E$701,2+($B$13-1)*20+O17-1),0)</f>
        <v/>
      </c>
      <c r="T17" s="13">
        <f>IF($B$5=$Q$1,INDEX(Books!$F$1:$F$701,2+($B$13-1)*20+O17-1),0)</f>
        <v/>
      </c>
      <c r="U17" s="12">
        <f>SUM(T$2:T17)</f>
        <v/>
      </c>
      <c r="W17" s="11" t="n">
        <v>16</v>
      </c>
      <c r="X17" s="12">
        <f>SUM(Y$2:Y17)</f>
        <v/>
      </c>
      <c r="Y17" s="13">
        <f>IF($B$5=$Y$1,INDEX(Books!$C$1:$C$701,2+($B$13-1)*20+W17-1),0)</f>
        <v/>
      </c>
      <c r="Z17" s="14">
        <f>IF($B$5=$Y$1,INDEX(Books!$D$1:$D$701,2+($B$13-1)*20+W17-1),0)</f>
        <v/>
      </c>
      <c r="AA17" s="14">
        <f>IF($B$5=$Y$1,INDEX(Books!$E$1:$E$701,2+($B$13-1)*20+W17-1),0)</f>
        <v/>
      </c>
      <c r="AB17" s="13">
        <f>IF($B$5=$Y$1,INDEX(Books!$F$1:$F$701,2+($B$13-1)*20+W17-1),0)</f>
        <v/>
      </c>
      <c r="AC17" s="12">
        <f>SUM(AB$2:AB17)</f>
        <v/>
      </c>
    </row>
    <row r="18">
      <c r="G18" s="11" t="n">
        <v>17</v>
      </c>
      <c r="H18" s="12">
        <f>SUM(I$2:I18)</f>
        <v/>
      </c>
      <c r="I18" s="13">
        <f>IF($B$5=$I$1,INDEX(Books!$C$1:$C$701,2+($B$13-1)*20+G18-1),0)</f>
        <v/>
      </c>
      <c r="J18" s="14">
        <f>IF($B$5=$I$1,INDEX(Books!$D$1:$D$701,2+($B$13-1)*20+G18-1),0)</f>
        <v/>
      </c>
      <c r="K18" s="14">
        <f>IF($B$5=$I$1,INDEX(Books!$E$1:$E$701,2+($B$13-1)*20+G18-1),0)</f>
        <v/>
      </c>
      <c r="L18" s="13">
        <f>IF($B$5=$I$1,INDEX(Books!$F$1:$F$701,2+($B$13-1)*20+G18-1),0)</f>
        <v/>
      </c>
      <c r="M18" s="12">
        <f>SUM(L$2:L18)</f>
        <v/>
      </c>
      <c r="O18" s="11" t="n">
        <v>17</v>
      </c>
      <c r="P18" s="12">
        <f>SUM(Q$2:Q18)</f>
        <v/>
      </c>
      <c r="Q18" s="13">
        <f>IF($B$5=$Q$1,INDEX(Books!$C$1:$C$701,2+($B$13-1)*20+O18-1),0)</f>
        <v/>
      </c>
      <c r="R18" s="14">
        <f>IF($B$5=$Q$1,INDEX(Books!$D$1:$D$701,2+($B$13-1)*20+O18-1),0)</f>
        <v/>
      </c>
      <c r="S18" s="14">
        <f>IF($B$5=$Q$1,INDEX(Books!$E$1:$E$701,2+($B$13-1)*20+O18-1),0)</f>
        <v/>
      </c>
      <c r="T18" s="13">
        <f>IF($B$5=$Q$1,INDEX(Books!$F$1:$F$701,2+($B$13-1)*20+O18-1),0)</f>
        <v/>
      </c>
      <c r="U18" s="12">
        <f>SUM(T$2:T18)</f>
        <v/>
      </c>
      <c r="W18" s="11" t="n">
        <v>17</v>
      </c>
      <c r="X18" s="12">
        <f>SUM(Y$2:Y18)</f>
        <v/>
      </c>
      <c r="Y18" s="13">
        <f>IF($B$5=$Y$1,INDEX(Books!$C$1:$C$701,2+($B$13-1)*20+W18-1),0)</f>
        <v/>
      </c>
      <c r="Z18" s="14">
        <f>IF($B$5=$Y$1,INDEX(Books!$D$1:$D$701,2+($B$13-1)*20+W18-1),0)</f>
        <v/>
      </c>
      <c r="AA18" s="14">
        <f>IF($B$5=$Y$1,INDEX(Books!$E$1:$E$701,2+($B$13-1)*20+W18-1),0)</f>
        <v/>
      </c>
      <c r="AB18" s="13">
        <f>IF($B$5=$Y$1,INDEX(Books!$F$1:$F$701,2+($B$13-1)*20+W18-1),0)</f>
        <v/>
      </c>
      <c r="AC18" s="12">
        <f>SUM(AB$2:AB18)</f>
        <v/>
      </c>
    </row>
    <row r="19">
      <c r="G19" s="11" t="n">
        <v>18</v>
      </c>
      <c r="H19" s="12">
        <f>SUM(I$2:I19)</f>
        <v/>
      </c>
      <c r="I19" s="13">
        <f>IF($B$5=$I$1,INDEX(Books!$C$1:$C$701,2+($B$13-1)*20+G19-1),0)</f>
        <v/>
      </c>
      <c r="J19" s="14">
        <f>IF($B$5=$I$1,INDEX(Books!$D$1:$D$701,2+($B$13-1)*20+G19-1),0)</f>
        <v/>
      </c>
      <c r="K19" s="14">
        <f>IF($B$5=$I$1,INDEX(Books!$E$1:$E$701,2+($B$13-1)*20+G19-1),0)</f>
        <v/>
      </c>
      <c r="L19" s="13">
        <f>IF($B$5=$I$1,INDEX(Books!$F$1:$F$701,2+($B$13-1)*20+G19-1),0)</f>
        <v/>
      </c>
      <c r="M19" s="12">
        <f>SUM(L$2:L19)</f>
        <v/>
      </c>
      <c r="O19" s="11" t="n">
        <v>18</v>
      </c>
      <c r="P19" s="12">
        <f>SUM(Q$2:Q19)</f>
        <v/>
      </c>
      <c r="Q19" s="13">
        <f>IF($B$5=$Q$1,INDEX(Books!$C$1:$C$701,2+($B$13-1)*20+O19-1),0)</f>
        <v/>
      </c>
      <c r="R19" s="14">
        <f>IF($B$5=$Q$1,INDEX(Books!$D$1:$D$701,2+($B$13-1)*20+O19-1),0)</f>
        <v/>
      </c>
      <c r="S19" s="14">
        <f>IF($B$5=$Q$1,INDEX(Books!$E$1:$E$701,2+($B$13-1)*20+O19-1),0)</f>
        <v/>
      </c>
      <c r="T19" s="13">
        <f>IF($B$5=$Q$1,INDEX(Books!$F$1:$F$701,2+($B$13-1)*20+O19-1),0)</f>
        <v/>
      </c>
      <c r="U19" s="12">
        <f>SUM(T$2:T19)</f>
        <v/>
      </c>
      <c r="W19" s="11" t="n">
        <v>18</v>
      </c>
      <c r="X19" s="12">
        <f>SUM(Y$2:Y19)</f>
        <v/>
      </c>
      <c r="Y19" s="13">
        <f>IF($B$5=$Y$1,INDEX(Books!$C$1:$C$701,2+($B$13-1)*20+W19-1),0)</f>
        <v/>
      </c>
      <c r="Z19" s="14">
        <f>IF($B$5=$Y$1,INDEX(Books!$D$1:$D$701,2+($B$13-1)*20+W19-1),0)</f>
        <v/>
      </c>
      <c r="AA19" s="14">
        <f>IF($B$5=$Y$1,INDEX(Books!$E$1:$E$701,2+($B$13-1)*20+W19-1),0)</f>
        <v/>
      </c>
      <c r="AB19" s="13">
        <f>IF($B$5=$Y$1,INDEX(Books!$F$1:$F$701,2+($B$13-1)*20+W19-1),0)</f>
        <v/>
      </c>
      <c r="AC19" s="12">
        <f>SUM(AB$2:AB19)</f>
        <v/>
      </c>
    </row>
    <row r="20">
      <c r="G20" s="11" t="n">
        <v>19</v>
      </c>
      <c r="H20" s="12">
        <f>SUM(I$2:I20)</f>
        <v/>
      </c>
      <c r="I20" s="13">
        <f>IF($B$5=$I$1,INDEX(Books!$C$1:$C$701,2+($B$13-1)*20+G20-1),0)</f>
        <v/>
      </c>
      <c r="J20" s="14">
        <f>IF($B$5=$I$1,INDEX(Books!$D$1:$D$701,2+($B$13-1)*20+G20-1),0)</f>
        <v/>
      </c>
      <c r="K20" s="14">
        <f>IF($B$5=$I$1,INDEX(Books!$E$1:$E$701,2+($B$13-1)*20+G20-1),0)</f>
        <v/>
      </c>
      <c r="L20" s="13">
        <f>IF($B$5=$I$1,INDEX(Books!$F$1:$F$701,2+($B$13-1)*20+G20-1),0)</f>
        <v/>
      </c>
      <c r="M20" s="12">
        <f>SUM(L$2:L20)</f>
        <v/>
      </c>
      <c r="O20" s="11" t="n">
        <v>19</v>
      </c>
      <c r="P20" s="12">
        <f>SUM(Q$2:Q20)</f>
        <v/>
      </c>
      <c r="Q20" s="13">
        <f>IF($B$5=$Q$1,INDEX(Books!$C$1:$C$701,2+($B$13-1)*20+O20-1),0)</f>
        <v/>
      </c>
      <c r="R20" s="14">
        <f>IF($B$5=$Q$1,INDEX(Books!$D$1:$D$701,2+($B$13-1)*20+O20-1),0)</f>
        <v/>
      </c>
      <c r="S20" s="14">
        <f>IF($B$5=$Q$1,INDEX(Books!$E$1:$E$701,2+($B$13-1)*20+O20-1),0)</f>
        <v/>
      </c>
      <c r="T20" s="13">
        <f>IF($B$5=$Q$1,INDEX(Books!$F$1:$F$701,2+($B$13-1)*20+O20-1),0)</f>
        <v/>
      </c>
      <c r="U20" s="12">
        <f>SUM(T$2:T20)</f>
        <v/>
      </c>
      <c r="W20" s="11" t="n">
        <v>19</v>
      </c>
      <c r="X20" s="12">
        <f>SUM(Y$2:Y20)</f>
        <v/>
      </c>
      <c r="Y20" s="13">
        <f>IF($B$5=$Y$1,INDEX(Books!$C$1:$C$701,2+($B$13-1)*20+W20-1),0)</f>
        <v/>
      </c>
      <c r="Z20" s="14">
        <f>IF($B$5=$Y$1,INDEX(Books!$D$1:$D$701,2+($B$13-1)*20+W20-1),0)</f>
        <v/>
      </c>
      <c r="AA20" s="14">
        <f>IF($B$5=$Y$1,INDEX(Books!$E$1:$E$701,2+($B$13-1)*20+W20-1),0)</f>
        <v/>
      </c>
      <c r="AB20" s="13">
        <f>IF($B$5=$Y$1,INDEX(Books!$F$1:$F$701,2+($B$13-1)*20+W20-1),0)</f>
        <v/>
      </c>
      <c r="AC20" s="12">
        <f>SUM(AB$2:AB20)</f>
        <v/>
      </c>
    </row>
    <row r="21">
      <c r="G21" s="11" t="n">
        <v>20</v>
      </c>
      <c r="H21" s="12">
        <f>SUM(I$2:I21)</f>
        <v/>
      </c>
      <c r="I21" s="13">
        <f>IF($B$5=$I$1,INDEX(Books!$C$1:$C$701,2+($B$13-1)*20+G21-1),0)</f>
        <v/>
      </c>
      <c r="J21" s="14">
        <f>IF($B$5=$I$1,INDEX(Books!$D$1:$D$701,2+($B$13-1)*20+G21-1),0)</f>
        <v/>
      </c>
      <c r="K21" s="14">
        <f>IF($B$5=$I$1,INDEX(Books!$E$1:$E$701,2+($B$13-1)*20+G21-1),0)</f>
        <v/>
      </c>
      <c r="L21" s="13">
        <f>IF($B$5=$I$1,INDEX(Books!$F$1:$F$701,2+($B$13-1)*20+G21-1),0)</f>
        <v/>
      </c>
      <c r="M21" s="12">
        <f>SUM(L$2:L21)</f>
        <v/>
      </c>
      <c r="O21" s="11" t="n">
        <v>20</v>
      </c>
      <c r="P21" s="12">
        <f>SUM(Q$2:Q21)</f>
        <v/>
      </c>
      <c r="Q21" s="13">
        <f>IF($B$5=$Q$1,INDEX(Books!$C$1:$C$701,2+($B$13-1)*20+O21-1),0)</f>
        <v/>
      </c>
      <c r="R21" s="14">
        <f>IF($B$5=$Q$1,INDEX(Books!$D$1:$D$701,2+($B$13-1)*20+O21-1),0)</f>
        <v/>
      </c>
      <c r="S21" s="14">
        <f>IF($B$5=$Q$1,INDEX(Books!$E$1:$E$701,2+($B$13-1)*20+O21-1),0)</f>
        <v/>
      </c>
      <c r="T21" s="13">
        <f>IF($B$5=$Q$1,INDEX(Books!$F$1:$F$701,2+($B$13-1)*20+O21-1),0)</f>
        <v/>
      </c>
      <c r="U21" s="12">
        <f>SUM(T$2:T21)</f>
        <v/>
      </c>
      <c r="W21" s="11" t="n">
        <v>20</v>
      </c>
      <c r="X21" s="12">
        <f>SUM(Y$2:Y21)</f>
        <v/>
      </c>
      <c r="Y21" s="13">
        <f>IF($B$5=$Y$1,INDEX(Books!$C$1:$C$701,2+($B$13-1)*20+W21-1),0)</f>
        <v/>
      </c>
      <c r="Z21" s="14">
        <f>IF($B$5=$Y$1,INDEX(Books!$D$1:$D$701,2+($B$13-1)*20+W21-1),0)</f>
        <v/>
      </c>
      <c r="AA21" s="14">
        <f>IF($B$5=$Y$1,INDEX(Books!$E$1:$E$701,2+($B$13-1)*20+W21-1),0)</f>
        <v/>
      </c>
      <c r="AB21" s="13">
        <f>IF($B$5=$Y$1,INDEX(Books!$F$1:$F$701,2+($B$13-1)*20+W21-1),0)</f>
        <v/>
      </c>
      <c r="AC21" s="12">
        <f>SUM(AB$2:AB21)</f>
        <v/>
      </c>
    </row>
    <row r="23">
      <c r="A23" s="15" t="inlineStr">
        <is>
          <t>Tender evaluation (Objective 1: price it off the order book)</t>
        </is>
      </c>
    </row>
    <row r="25">
      <c r="A25" s="16" t="inlineStr">
        <is>
          <t>Commission per share (brief: $0.02)</t>
        </is>
      </c>
      <c r="B25" s="18" t="n">
        <v>0.02</v>
      </c>
      <c r="G25" s="1" t="inlineStr">
        <is>
          <t>Level</t>
        </is>
      </c>
      <c r="H25" s="1" t="inlineStr">
        <is>
          <t>Price</t>
        </is>
      </c>
      <c r="I25" s="1" t="inlineStr">
        <is>
          <t>Size x refill</t>
        </is>
      </c>
      <c r="J25" s="1" t="inlineStr">
        <is>
          <t>Before</t>
        </is>
      </c>
      <c r="K25" s="1" t="inlineStr">
        <is>
          <t>Taken</t>
        </is>
      </c>
      <c r="L25" s="1" t="inlineStr">
        <is>
          <t>Value</t>
        </is>
      </c>
    </row>
    <row r="26">
      <c r="A26" s="16" t="inlineStr">
        <is>
          <t>Book refill factor (bot: 2.0)</t>
        </is>
      </c>
      <c r="B26" s="19" t="n">
        <v>2</v>
      </c>
      <c r="G26" s="11" t="n">
        <v>1</v>
      </c>
      <c r="H26" s="20">
        <f>IF($B$7="",0,IF($B$7&gt;0,CHOOSE($B$6,J2,R2,Z2),CHOOSE($B$6,K2,S2,AA2)))</f>
        <v/>
      </c>
      <c r="I26" s="12">
        <f>IF($B$7="",0,IF($B$7&gt;0,CHOOSE($B$6,I2,Q2,Y2),CHOOSE($B$6,L2,T2,AB2))*$B$26)</f>
        <v/>
      </c>
      <c r="J26" s="12">
        <f>0</f>
        <v/>
      </c>
      <c r="K26" s="12">
        <f>IF($B$32="",0,MIN(I26,MAX(0,$B$32-J26)))</f>
        <v/>
      </c>
      <c r="L26" s="21">
        <f>H26*K26</f>
        <v/>
      </c>
    </row>
    <row r="27">
      <c r="A27" s="16" t="inlineStr">
        <is>
          <t>Min profit per share (bot: 0.01)</t>
        </is>
      </c>
      <c r="B27" s="18" t="n">
        <v>0.01</v>
      </c>
      <c r="G27" s="11" t="n">
        <v>2</v>
      </c>
      <c r="H27" s="20">
        <f>IF($B$7="",0,IF($B$7&gt;0,CHOOSE($B$6,J3,R3,Z3),CHOOSE($B$6,K3,S3,AA3)))</f>
        <v/>
      </c>
      <c r="I27" s="12">
        <f>IF($B$7="",0,IF($B$7&gt;0,CHOOSE($B$6,I3,Q3,Y3),CHOOSE($B$6,L3,T3,AB3))*$B$26)</f>
        <v/>
      </c>
      <c r="J27" s="12">
        <f>J26+I26</f>
        <v/>
      </c>
      <c r="K27" s="12">
        <f>IF($B$32="",0,MIN(I27,MAX(0,$B$32-J27)))</f>
        <v/>
      </c>
      <c r="L27" s="21">
        <f>H27*K27</f>
        <v/>
      </c>
    </row>
    <row r="28">
      <c r="A28" s="16" t="inlineStr">
        <is>
          <t>Exit cost if held to the bell (per share)</t>
        </is>
      </c>
      <c r="B28" s="18" t="n">
        <v>0.01</v>
      </c>
      <c r="G28" s="11" t="n">
        <v>3</v>
      </c>
      <c r="H28" s="20">
        <f>IF($B$7="",0,IF($B$7&gt;0,CHOOSE($B$6,J4,R4,Z4),CHOOSE($B$6,K4,S4,AA4)))</f>
        <v/>
      </c>
      <c r="I28" s="12">
        <f>IF($B$7="",0,IF($B$7&gt;0,CHOOSE($B$6,I4,Q4,Y4),CHOOSE($B$6,L4,T4,AB4))*$B$26)</f>
        <v/>
      </c>
      <c r="J28" s="12">
        <f>J27+I27</f>
        <v/>
      </c>
      <c r="K28" s="12">
        <f>IF($B$32="",0,MIN(I28,MAX(0,$B$32-J28)))</f>
        <v/>
      </c>
      <c r="L28" s="21">
        <f>H28*K28</f>
        <v/>
      </c>
    </row>
    <row r="29">
      <c r="A29" s="16" t="inlineStr">
        <is>
          <t>Auction margin (bot: 0.05)</t>
        </is>
      </c>
      <c r="B29" s="18" t="n">
        <v>0.05</v>
      </c>
      <c r="G29" s="11" t="n">
        <v>4</v>
      </c>
      <c r="H29" s="20">
        <f>IF($B$7="",0,IF($B$7&gt;0,CHOOSE($B$6,J5,R5,Z5),CHOOSE($B$6,K5,S5,AA5)))</f>
        <v/>
      </c>
      <c r="I29" s="12">
        <f>IF($B$7="",0,IF($B$7&gt;0,CHOOSE($B$6,I5,Q5,Y5),CHOOSE($B$6,L5,T5,AB5))*$B$26)</f>
        <v/>
      </c>
      <c r="J29" s="12">
        <f>J28+I28</f>
        <v/>
      </c>
      <c r="K29" s="12">
        <f>IF($B$32="",0,MIN(I29,MAX(0,$B$32-J29)))</f>
        <v/>
      </c>
      <c r="L29" s="21">
        <f>H29*K29</f>
        <v/>
      </c>
    </row>
    <row r="30">
      <c r="G30" s="11" t="n">
        <v>5</v>
      </c>
      <c r="H30" s="20">
        <f>IF($B$7="",0,IF($B$7&gt;0,CHOOSE($B$6,J6,R6,Z6),CHOOSE($B$6,K6,S6,AA6)))</f>
        <v/>
      </c>
      <c r="I30" s="12">
        <f>IF($B$7="",0,IF($B$7&gt;0,CHOOSE($B$6,I6,Q6,Y6),CHOOSE($B$6,L6,T6,AB6))*$B$26)</f>
        <v/>
      </c>
      <c r="J30" s="12">
        <f>J29+I29</f>
        <v/>
      </c>
      <c r="K30" s="12">
        <f>IF($B$32="",0,MIN(I30,MAX(0,$B$32-J30)))</f>
        <v/>
      </c>
      <c r="L30" s="21">
        <f>H30*K30</f>
        <v/>
      </c>
    </row>
    <row r="31">
      <c r="A31" s="16" t="inlineStr">
        <is>
          <t>Unwind side</t>
        </is>
      </c>
      <c r="B31" s="16">
        <f>IF(B7="","",IF(B7&gt;0,"SELL into the bids",IF(B7&lt;0,"BUY from the asks","")))</f>
        <v/>
      </c>
      <c r="G31" s="11" t="n">
        <v>6</v>
      </c>
      <c r="H31" s="20">
        <f>IF($B$7="",0,IF($B$7&gt;0,CHOOSE($B$6,J7,R7,Z7),CHOOSE($B$6,K7,S7,AA7)))</f>
        <v/>
      </c>
      <c r="I31" s="12">
        <f>IF($B$7="",0,IF($B$7&gt;0,CHOOSE($B$6,I7,Q7,Y7),CHOOSE($B$6,L7,T7,AB7))*$B$26)</f>
        <v/>
      </c>
      <c r="J31" s="12">
        <f>J30+I30</f>
        <v/>
      </c>
      <c r="K31" s="12">
        <f>IF($B$32="",0,MIN(I31,MAX(0,$B$32-J31)))</f>
        <v/>
      </c>
      <c r="L31" s="21">
        <f>H31*K31</f>
        <v/>
      </c>
    </row>
    <row r="32">
      <c r="A32" s="16" t="inlineStr">
        <is>
          <t>Shares to unwind</t>
        </is>
      </c>
      <c r="B32" s="12">
        <f>IF(B7="","",ABS(B7))</f>
        <v/>
      </c>
      <c r="G32" s="11" t="n">
        <v>7</v>
      </c>
      <c r="H32" s="20">
        <f>IF($B$7="",0,IF($B$7&gt;0,CHOOSE($B$6,J8,R8,Z8),CHOOSE($B$6,K8,S8,AA8)))</f>
        <v/>
      </c>
      <c r="I32" s="12">
        <f>IF($B$7="",0,IF($B$7&gt;0,CHOOSE($B$6,I8,Q8,Y8),CHOOSE($B$6,L8,T8,AB8))*$B$26)</f>
        <v/>
      </c>
      <c r="J32" s="12">
        <f>J31+I31</f>
        <v/>
      </c>
      <c r="K32" s="12">
        <f>IF($B$32="",0,MIN(I32,MAX(0,$B$32-J32)))</f>
        <v/>
      </c>
      <c r="L32" s="21">
        <f>H32*K32</f>
        <v/>
      </c>
    </row>
    <row r="33">
      <c r="A33" s="16" t="inlineStr">
        <is>
          <t>Mid now</t>
        </is>
      </c>
      <c r="B33" s="20">
        <f>IFERROR((CHOOSE(B6,J2,R2,Z2)+CHOOSE(B6,K2,S2,AA2))/2,"")</f>
        <v/>
      </c>
      <c r="G33" s="11" t="n">
        <v>8</v>
      </c>
      <c r="H33" s="20">
        <f>IF($B$7="",0,IF($B$7&gt;0,CHOOSE($B$6,J9,R9,Z9),CHOOSE($B$6,K9,S9,AA9)))</f>
        <v/>
      </c>
      <c r="I33" s="12">
        <f>IF($B$7="",0,IF($B$7&gt;0,CHOOSE($B$6,I9,Q9,Y9),CHOOSE($B$6,L9,T9,AB9))*$B$26)</f>
        <v/>
      </c>
      <c r="J33" s="12">
        <f>J32+I32</f>
        <v/>
      </c>
      <c r="K33" s="12">
        <f>IF($B$32="",0,MIN(I33,MAX(0,$B$32-J33)))</f>
        <v/>
      </c>
      <c r="L33" s="21">
        <f>H33*K33</f>
        <v/>
      </c>
    </row>
    <row r="34">
      <c r="A34" s="16" t="inlineStr">
        <is>
          <t>Exit VWAP walking the book (x refill)</t>
        </is>
      </c>
      <c r="B34" s="22">
        <f>IF(OR(B32="",K46=0),"",(L46+(B32-K46)*(INDEX(H26:H45,COUNTIF(K26:K45,"&gt;0"))-SIGN(B7)*0.05))/B32)</f>
        <v/>
      </c>
      <c r="G34" s="11" t="n">
        <v>9</v>
      </c>
      <c r="H34" s="20">
        <f>IF($B$7="",0,IF($B$7&gt;0,CHOOSE($B$6,J10,R10,Z10),CHOOSE($B$6,K10,S10,AA10)))</f>
        <v/>
      </c>
      <c r="I34" s="12">
        <f>IF($B$7="",0,IF($B$7&gt;0,CHOOSE($B$6,I10,Q10,Y10),CHOOSE($B$6,L10,T10,AB10))*$B$26)</f>
        <v/>
      </c>
      <c r="J34" s="12">
        <f>J33+I33</f>
        <v/>
      </c>
      <c r="K34" s="12">
        <f>IF($B$32="",0,MIN(I34,MAX(0,$B$32-J34)))</f>
        <v/>
      </c>
      <c r="L34" s="21">
        <f>H34*K34</f>
        <v/>
      </c>
    </row>
    <row r="35">
      <c r="A35" s="16" t="inlineStr">
        <is>
          <t>Shares beyond the visible book</t>
        </is>
      </c>
      <c r="B35" s="12">
        <f>IF(B32="","",B32-K46)</f>
        <v/>
      </c>
      <c r="G35" s="11" t="n">
        <v>10</v>
      </c>
      <c r="H35" s="20">
        <f>IF($B$7="",0,IF($B$7&gt;0,CHOOSE($B$6,J11,R11,Z11),CHOOSE($B$6,K11,S11,AA11)))</f>
        <v/>
      </c>
      <c r="I35" s="12">
        <f>IF($B$7="",0,IF($B$7&gt;0,CHOOSE($B$6,I11,Q11,Y11),CHOOSE($B$6,L11,T11,AB11))*$B$26)</f>
        <v/>
      </c>
      <c r="J35" s="12">
        <f>J34+I34</f>
        <v/>
      </c>
      <c r="K35" s="12">
        <f>IF($B$32="",0,MIN(I35,MAX(0,$B$32-J35)))</f>
        <v/>
      </c>
      <c r="L35" s="21">
        <f>H35*K35</f>
        <v/>
      </c>
    </row>
    <row r="36">
      <c r="A36" s="16" t="inlineStr">
        <is>
          <t>Profit/share walking the book, after commission</t>
        </is>
      </c>
      <c r="B36" s="23">
        <f>IF(OR(B8="",B8=0,B34=""),"",SIGN(B7)*(B34-B8)-B25)</f>
        <v/>
      </c>
      <c r="G36" s="11" t="n">
        <v>11</v>
      </c>
      <c r="H36" s="20">
        <f>IF($B$7="",0,IF($B$7&gt;0,CHOOSE($B$6,J12,R12,Z12),CHOOSE($B$6,K12,S12,AA12)))</f>
        <v/>
      </c>
      <c r="I36" s="12">
        <f>IF($B$7="",0,IF($B$7&gt;0,CHOOSE($B$6,I12,Q12,Y12),CHOOSE($B$6,L12,T12,AB12))*$B$26)</f>
        <v/>
      </c>
      <c r="J36" s="12">
        <f>J35+I35</f>
        <v/>
      </c>
      <c r="K36" s="12">
        <f>IF($B$32="",0,MIN(I36,MAX(0,$B$32-J36)))</f>
        <v/>
      </c>
      <c r="L36" s="21">
        <f>H36*K36</f>
        <v/>
      </c>
    </row>
    <row r="37">
      <c r="A37" s="16" t="inlineStr">
        <is>
          <t>Total profit walking the book</t>
        </is>
      </c>
      <c r="B37" s="24">
        <f>IF(B36="","",B36*B32)</f>
        <v/>
      </c>
      <c r="G37" s="11" t="n">
        <v>12</v>
      </c>
      <c r="H37" s="20">
        <f>IF($B$7="",0,IF($B$7&gt;0,CHOOSE($B$6,J13,R13,Z13),CHOOSE($B$6,K13,S13,AA13)))</f>
        <v/>
      </c>
      <c r="I37" s="12">
        <f>IF($B$7="",0,IF($B$7&gt;0,CHOOSE($B$6,I13,Q13,Y13),CHOOSE($B$6,L13,T13,AB13))*$B$26)</f>
        <v/>
      </c>
      <c r="J37" s="12">
        <f>J36+I36</f>
        <v/>
      </c>
      <c r="K37" s="12">
        <f>IF($B$32="",0,MIN(I37,MAX(0,$B$32-J37)))</f>
        <v/>
      </c>
      <c r="L37" s="21">
        <f>H37*K37</f>
        <v/>
      </c>
    </row>
    <row r="38">
      <c r="A38" s="16" t="inlineStr">
        <is>
          <t>Edge vs the mid per share</t>
        </is>
      </c>
      <c r="B38" s="23">
        <f>IF(OR(B8="",B8=0,B33=""),"",SIGN(B7)*(B33-B8))</f>
        <v/>
      </c>
      <c r="G38" s="11" t="n">
        <v>13</v>
      </c>
      <c r="H38" s="20">
        <f>IF($B$7="",0,IF($B$7&gt;0,CHOOSE($B$6,J14,R14,Z14),CHOOSE($B$6,K14,S14,AA14)))</f>
        <v/>
      </c>
      <c r="I38" s="12">
        <f>IF($B$7="",0,IF($B$7&gt;0,CHOOSE($B$6,I14,Q14,Y14),CHOOSE($B$6,L14,T14,AB14))*$B$26)</f>
        <v/>
      </c>
      <c r="J38" s="12">
        <f>J37+I37</f>
        <v/>
      </c>
      <c r="K38" s="12">
        <f>IF($B$32="",0,MIN(I38,MAX(0,$B$32-J38)))</f>
        <v/>
      </c>
      <c r="L38" s="21">
        <f>H38*K38</f>
        <v/>
      </c>
    </row>
    <row r="39">
      <c r="A39" s="16" t="inlineStr">
        <is>
          <t>Profit/share if held to the bell</t>
        </is>
      </c>
      <c r="B39" s="23">
        <f>IF(B38="","",B38-B28)</f>
        <v/>
      </c>
      <c r="G39" s="11" t="n">
        <v>14</v>
      </c>
      <c r="H39" s="20">
        <f>IF($B$7="",0,IF($B$7&gt;0,CHOOSE($B$6,J15,R15,Z15),CHOOSE($B$6,K15,S15,AA15)))</f>
        <v/>
      </c>
      <c r="I39" s="12">
        <f>IF($B$7="",0,IF($B$7&gt;0,CHOOSE($B$6,I15,Q15,Y15),CHOOSE($B$6,L15,T15,AB15))*$B$26)</f>
        <v/>
      </c>
      <c r="J39" s="12">
        <f>J38+I38</f>
        <v/>
      </c>
      <c r="K39" s="12">
        <f>IF($B$32="",0,MIN(I39,MAX(0,$B$32-J39)))</f>
        <v/>
      </c>
      <c r="L39" s="21">
        <f>H39*K39</f>
        <v/>
      </c>
    </row>
    <row r="40">
      <c r="A40" s="16" t="inlineStr">
        <is>
          <t>Decision (walk the book vs min profit)</t>
        </is>
      </c>
      <c r="B40" s="8">
        <f>IF(B7="","",IF(OR(B8="",B8=0),"AUCTION: bid "&amp;TEXT(B41,"0.00"),IF(B36&gt;=B27,"ACCEPT","DECLINE")))</f>
        <v/>
      </c>
      <c r="G40" s="11" t="n">
        <v>15</v>
      </c>
      <c r="H40" s="20">
        <f>IF($B$7="",0,IF($B$7&gt;0,CHOOSE($B$6,J16,R16,Z16),CHOOSE($B$6,K16,S16,AA16)))</f>
        <v/>
      </c>
      <c r="I40" s="12">
        <f>IF($B$7="",0,IF($B$7&gt;0,CHOOSE($B$6,I16,Q16,Y16),CHOOSE($B$6,L16,T16,AB16))*$B$26)</f>
        <v/>
      </c>
      <c r="J40" s="12">
        <f>J39+I39</f>
        <v/>
      </c>
      <c r="K40" s="12">
        <f>IF($B$32="",0,MIN(I40,MAX(0,$B$32-J40)))</f>
        <v/>
      </c>
      <c r="L40" s="21">
        <f>H40*K40</f>
        <v/>
      </c>
    </row>
    <row r="41">
      <c r="A41" s="16" t="inlineStr">
        <is>
          <t>Auction: most aggressive bid that keeps the margin</t>
        </is>
      </c>
      <c r="B41" s="20">
        <f>IF(B34="","",ROUND(B34-SIGN(B7)*(B25+B29),2))</f>
        <v/>
      </c>
      <c r="G41" s="11" t="n">
        <v>16</v>
      </c>
      <c r="H41" s="20">
        <f>IF($B$7="",0,IF($B$7&gt;0,CHOOSE($B$6,J17,R17,Z17),CHOOSE($B$6,K17,S17,AA17)))</f>
        <v/>
      </c>
      <c r="I41" s="12">
        <f>IF($B$7="",0,IF($B$7&gt;0,CHOOSE($B$6,I17,Q17,Y17),CHOOSE($B$6,L17,T17,AB17))*$B$26)</f>
        <v/>
      </c>
      <c r="J41" s="12">
        <f>J40+I40</f>
        <v/>
      </c>
      <c r="K41" s="12">
        <f>IF($B$32="",0,MIN(I41,MAX(0,$B$32-J41)))</f>
        <v/>
      </c>
      <c r="L41" s="21">
        <f>H41*K41</f>
        <v/>
      </c>
    </row>
    <row r="42">
      <c r="A42" s="25" t="inlineStr">
        <is>
          <t>Limits: brief 250,000 gross / 100,000 net shares (enforced)</t>
        </is>
      </c>
      <c r="G42" s="11" t="n">
        <v>17</v>
      </c>
      <c r="H42" s="20">
        <f>IF($B$7="",0,IF($B$7&gt;0,CHOOSE($B$6,J18,R18,Z18),CHOOSE($B$6,K18,S18,AA18)))</f>
        <v/>
      </c>
      <c r="I42" s="12">
        <f>IF($B$7="",0,IF($B$7&gt;0,CHOOSE($B$6,I18,Q18,Y18),CHOOSE($B$6,L18,T18,AB18))*$B$26)</f>
        <v/>
      </c>
      <c r="J42" s="12">
        <f>J41+I41</f>
        <v/>
      </c>
      <c r="K42" s="12">
        <f>IF($B$32="",0,MIN(I42,MAX(0,$B$32-J42)))</f>
        <v/>
      </c>
      <c r="L42" s="21">
        <f>H42*K42</f>
        <v/>
      </c>
    </row>
    <row r="43">
      <c r="G43" s="11" t="n">
        <v>18</v>
      </c>
      <c r="H43" s="20">
        <f>IF($B$7="",0,IF($B$7&gt;0,CHOOSE($B$6,J19,R19,Z19),CHOOSE($B$6,K19,S19,AA19)))</f>
        <v/>
      </c>
      <c r="I43" s="12">
        <f>IF($B$7="",0,IF($B$7&gt;0,CHOOSE($B$6,I19,Q19,Y19),CHOOSE($B$6,L19,T19,AB19))*$B$26)</f>
        <v/>
      </c>
      <c r="J43" s="12">
        <f>J42+I42</f>
        <v/>
      </c>
      <c r="K43" s="12">
        <f>IF($B$32="",0,MIN(I43,MAX(0,$B$32-J43)))</f>
        <v/>
      </c>
      <c r="L43" s="21">
        <f>H43*K43</f>
        <v/>
      </c>
    </row>
    <row r="44">
      <c r="A44" s="15" t="inlineStr">
        <is>
          <t>What the bot did (from the log)</t>
        </is>
      </c>
      <c r="G44" s="11" t="n">
        <v>19</v>
      </c>
      <c r="H44" s="20">
        <f>IF($B$7="",0,IF($B$7&gt;0,CHOOSE($B$6,J20,R20,Z20),CHOOSE($B$6,K20,S20,AA20)))</f>
        <v/>
      </c>
      <c r="I44" s="12">
        <f>IF($B$7="",0,IF($B$7&gt;0,CHOOSE($B$6,I20,Q20,Y20),CHOOSE($B$6,L20,T20,AB20))*$B$26)</f>
        <v/>
      </c>
      <c r="J44" s="12">
        <f>J43+I43</f>
        <v/>
      </c>
      <c r="K44" s="12">
        <f>IF($B$32="",0,MIN(I44,MAX(0,$B$32-J44)))</f>
        <v/>
      </c>
      <c r="L44" s="21">
        <f>H44*K44</f>
        <v/>
      </c>
    </row>
    <row r="45">
      <c r="A45" s="16" t="inlineStr">
        <is>
          <t>Bot's answer</t>
        </is>
      </c>
      <c r="B45" s="9">
        <f>INDEX(Tenders!$K$1:$K$36,$B$13+1)</f>
        <v/>
      </c>
      <c r="G45" s="11" t="n">
        <v>20</v>
      </c>
      <c r="H45" s="20">
        <f>IF($B$7="",0,IF($B$7&gt;0,CHOOSE($B$6,J21,R21,Z21),CHOOSE($B$6,K21,S21,AA21)))</f>
        <v/>
      </c>
      <c r="I45" s="12">
        <f>IF($B$7="",0,IF($B$7&gt;0,CHOOSE($B$6,I21,Q21,Y21),CHOOSE($B$6,L21,T21,AB21))*$B$26)</f>
        <v/>
      </c>
      <c r="J45" s="12">
        <f>J44+I44</f>
        <v/>
      </c>
      <c r="K45" s="12">
        <f>IF($B$32="",0,MIN(I45,MAX(0,$B$32-J45)))</f>
        <v/>
      </c>
      <c r="L45" s="21">
        <f>H45*K45</f>
        <v/>
      </c>
    </row>
    <row r="46">
      <c r="A46" s="16" t="inlineStr">
        <is>
          <t>Bot's estimate per share</t>
        </is>
      </c>
      <c r="B46" s="26">
        <f>IF(INDEX(Tenders!$L$1:$L$36,$B$13+1)="","",INDEX(Tenders!$L$1:$L$36,$B$13+1))</f>
        <v/>
      </c>
      <c r="G46" s="8" t="inlineStr">
        <is>
          <t>Total</t>
        </is>
      </c>
      <c r="K46" s="27">
        <f>SUM(K26:K45)</f>
        <v/>
      </c>
      <c r="L46" s="28">
        <f>SUM(L26:L45)</f>
        <v/>
      </c>
    </row>
    <row r="47">
      <c r="A47" s="16" t="inlineStr">
        <is>
          <t>Bot's bid</t>
        </is>
      </c>
      <c r="B47" s="14">
        <f>IF(INDEX(Tenders!$M$1:$M$36,$B$13+1)="","",INDEX(Tenders!$M$1:$M$36,$B$13+1))</f>
        <v/>
      </c>
      <c r="G47" s="25" t="inlineStr">
        <is>
          <t>Shares past the last level are priced at the worst level -5c (as the bot does).</t>
        </is>
      </c>
    </row>
    <row r="48">
      <c r="A48" s="16" t="inlineStr">
        <is>
          <t>Hidden reserve (simulator)</t>
        </is>
      </c>
      <c r="B48" s="14">
        <f>IF(INDEX(Tenders!$Q$1:$Q$36,$B$13+1)="","",INDEX(Tenders!$Q$1:$Q$36,$B$13+1))</f>
        <v/>
      </c>
    </row>
    <row r="49">
      <c r="A49" s="16" t="inlineStr">
        <is>
          <t>Rival bid, winner-take-all (simulator)</t>
        </is>
      </c>
      <c r="B49" s="14">
        <f>IF(INDEX(Tenders!$R$1:$R$36,$B$13+1)="","",INDEX(Tenders!$R$1:$R$36,$B$13+1))</f>
        <v/>
      </c>
    </row>
    <row r="50">
      <c r="A50" s="16" t="inlineStr">
        <is>
          <t>Bot's extra charges vs this sheet (risk, drift, crowd)</t>
        </is>
      </c>
      <c r="B50" s="26">
        <f>IF(OR(B46="",B36=""),"",B36-B46)</f>
        <v/>
      </c>
    </row>
    <row r="51">
      <c r="A51" s="16" t="inlineStr">
        <is>
          <t>Gap flag</t>
        </is>
      </c>
      <c r="B51" s="29">
        <f>INDEX(Tenders!$U$1:$U$36,$B$13+1)</f>
        <v/>
      </c>
    </row>
  </sheetData>
  <mergeCells count="2">
    <mergeCell ref="A23:E23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0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8" t="inlineStr">
        <is>
          <t>Current tick</t>
        </is>
      </c>
      <c r="B1" s="16">
        <f>IFERROR(B2-RTD("rit2.rtd",,"TIMEREMAINING"),"")</f>
        <v/>
      </c>
      <c r="G1" s="8" t="inlineStr">
        <is>
          <t>Security</t>
        </is>
      </c>
      <c r="H1" s="2" t="n">
        <v>1</v>
      </c>
      <c r="I1" s="10" t="inlineStr">
        <is>
          <t>CRZY</t>
        </is>
      </c>
      <c r="P1" s="2" t="n">
        <v>2</v>
      </c>
      <c r="Q1" s="10" t="inlineStr">
        <is>
          <t>TAME</t>
        </is>
      </c>
      <c r="X1" s="2" t="n">
        <v>3</v>
      </c>
      <c r="Y1" s="10" t="inlineStr">
        <is>
          <t>CROC</t>
        </is>
      </c>
    </row>
    <row r="2">
      <c r="A2" s="8" t="inlineStr">
        <is>
          <t>Total tick</t>
        </is>
      </c>
      <c r="B2" s="2" t="n">
        <v>420</v>
      </c>
      <c r="G2" s="11" t="n">
        <v>1</v>
      </c>
      <c r="H2" s="12">
        <f>SUM(I$2:I2)</f>
        <v/>
      </c>
      <c r="I2" s="12">
        <f>IFERROR(--RTD("rit2.rtd",,$I$1,"AGBSZ",G2),0)</f>
        <v/>
      </c>
      <c r="J2" s="20">
        <f>IFERROR(--RTD("rit2.rtd",,$I$1,"AGBID",G2),0)</f>
        <v/>
      </c>
      <c r="K2" s="20">
        <f>IFERROR(--RTD("rit2.rtd",,$I$1,"AGASK",G2),0)</f>
        <v/>
      </c>
      <c r="L2" s="12">
        <f>IFERROR(--RTD("rit2.rtd",,$I$1,"AGASZ",G2),0)</f>
        <v/>
      </c>
      <c r="M2" s="12">
        <f>SUM(L$2:L2)</f>
        <v/>
      </c>
      <c r="O2" s="11" t="n">
        <v>1</v>
      </c>
      <c r="P2" s="12">
        <f>SUM(Q$2:Q2)</f>
        <v/>
      </c>
      <c r="Q2" s="12">
        <f>IFERROR(--RTD("rit2.rtd",,$Q$1,"AGBSZ",O2),0)</f>
        <v/>
      </c>
      <c r="R2" s="20">
        <f>IFERROR(--RTD("rit2.rtd",,$Q$1,"AGBID",O2),0)</f>
        <v/>
      </c>
      <c r="S2" s="20">
        <f>IFERROR(--RTD("rit2.rtd",,$Q$1,"AGASK",O2),0)</f>
        <v/>
      </c>
      <c r="T2" s="12">
        <f>IFERROR(--RTD("rit2.rtd",,$Q$1,"AGASZ",O2),0)</f>
        <v/>
      </c>
      <c r="U2" s="12">
        <f>SUM(T$2:T2)</f>
        <v/>
      </c>
      <c r="W2" s="11" t="n">
        <v>1</v>
      </c>
      <c r="X2" s="12">
        <f>SUM(Y$2:Y2)</f>
        <v/>
      </c>
      <c r="Y2" s="12">
        <f>IFERROR(--RTD("rit2.rtd",,$Y$1,"AGBSZ",W2),0)</f>
        <v/>
      </c>
      <c r="Z2" s="20">
        <f>IFERROR(--RTD("rit2.rtd",,$Y$1,"AGBID",W2),0)</f>
        <v/>
      </c>
      <c r="AA2" s="20">
        <f>IFERROR(--RTD("rit2.rtd",,$Y$1,"AGASK",W2),0)</f>
        <v/>
      </c>
      <c r="AB2" s="12">
        <f>IFERROR(--RTD("rit2.rtd",,$Y$1,"AGASZ",W2),0)</f>
        <v/>
      </c>
      <c r="AC2" s="12">
        <f>SUM(AB$2:AB2)</f>
        <v/>
      </c>
    </row>
    <row r="3">
      <c r="A3" s="15" t="inlineStr">
        <is>
          <t>Tenders</t>
        </is>
      </c>
      <c r="G3" s="11" t="n">
        <v>2</v>
      </c>
      <c r="H3" s="12">
        <f>SUM(I$2:I3)</f>
        <v/>
      </c>
      <c r="I3" s="12">
        <f>IFERROR(--RTD("rit2.rtd",,$I$1,"AGBSZ",G3),0)</f>
        <v/>
      </c>
      <c r="J3" s="20">
        <f>IFERROR(--RTD("rit2.rtd",,$I$1,"AGBID",G3),0)</f>
        <v/>
      </c>
      <c r="K3" s="20">
        <f>IFERROR(--RTD("rit2.rtd",,$I$1,"AGASK",G3),0)</f>
        <v/>
      </c>
      <c r="L3" s="12">
        <f>IFERROR(--RTD("rit2.rtd",,$I$1,"AGASZ",G3),0)</f>
        <v/>
      </c>
      <c r="M3" s="12">
        <f>SUM(L$2:L3)</f>
        <v/>
      </c>
      <c r="O3" s="11" t="n">
        <v>2</v>
      </c>
      <c r="P3" s="12">
        <f>SUM(Q$2:Q3)</f>
        <v/>
      </c>
      <c r="Q3" s="12">
        <f>IFERROR(--RTD("rit2.rtd",,$Q$1,"AGBSZ",O3),0)</f>
        <v/>
      </c>
      <c r="R3" s="20">
        <f>IFERROR(--RTD("rit2.rtd",,$Q$1,"AGBID",O3),0)</f>
        <v/>
      </c>
      <c r="S3" s="20">
        <f>IFERROR(--RTD("rit2.rtd",,$Q$1,"AGASK",O3),0)</f>
        <v/>
      </c>
      <c r="T3" s="12">
        <f>IFERROR(--RTD("rit2.rtd",,$Q$1,"AGASZ",O3),0)</f>
        <v/>
      </c>
      <c r="U3" s="12">
        <f>SUM(T$2:T3)</f>
        <v/>
      </c>
      <c r="W3" s="11" t="n">
        <v>2</v>
      </c>
      <c r="X3" s="12">
        <f>SUM(Y$2:Y3)</f>
        <v/>
      </c>
      <c r="Y3" s="12">
        <f>IFERROR(--RTD("rit2.rtd",,$Y$1,"AGBSZ",W3),0)</f>
        <v/>
      </c>
      <c r="Z3" s="20">
        <f>IFERROR(--RTD("rit2.rtd",,$Y$1,"AGBID",W3),0)</f>
        <v/>
      </c>
      <c r="AA3" s="20">
        <f>IFERROR(--RTD("rit2.rtd",,$Y$1,"AGASK",W3),0)</f>
        <v/>
      </c>
      <c r="AB3" s="12">
        <f>IFERROR(--RTD("rit2.rtd",,$Y$1,"AGASZ",W3),0)</f>
        <v/>
      </c>
      <c r="AC3" s="12">
        <f>SUM(AB$2:AB3)</f>
        <v/>
      </c>
    </row>
    <row r="4">
      <c r="A4" s="16" t="inlineStr">
        <is>
          <t>Tender ID</t>
        </is>
      </c>
      <c r="B4" s="16">
        <f>IFERROR(VALUE(LEFT(E4,FIND(",",E4)-1)),"")</f>
        <v/>
      </c>
      <c r="D4" s="11" t="inlineStr">
        <is>
          <t>Full text</t>
        </is>
      </c>
      <c r="E4" s="16">
        <f>IFERROR(RTD("rit2.rtd",,"TENDERINFO",1),"")</f>
        <v/>
      </c>
      <c r="G4" s="11" t="n">
        <v>3</v>
      </c>
      <c r="H4" s="12">
        <f>SUM(I$2:I4)</f>
        <v/>
      </c>
      <c r="I4" s="12">
        <f>IFERROR(--RTD("rit2.rtd",,$I$1,"AGBSZ",G4),0)</f>
        <v/>
      </c>
      <c r="J4" s="20">
        <f>IFERROR(--RTD("rit2.rtd",,$I$1,"AGBID",G4),0)</f>
        <v/>
      </c>
      <c r="K4" s="20">
        <f>IFERROR(--RTD("rit2.rtd",,$I$1,"AGASK",G4),0)</f>
        <v/>
      </c>
      <c r="L4" s="12">
        <f>IFERROR(--RTD("rit2.rtd",,$I$1,"AGASZ",G4),0)</f>
        <v/>
      </c>
      <c r="M4" s="12">
        <f>SUM(L$2:L4)</f>
        <v/>
      </c>
      <c r="O4" s="11" t="n">
        <v>3</v>
      </c>
      <c r="P4" s="12">
        <f>SUM(Q$2:Q4)</f>
        <v/>
      </c>
      <c r="Q4" s="12">
        <f>IFERROR(--RTD("rit2.rtd",,$Q$1,"AGBSZ",O4),0)</f>
        <v/>
      </c>
      <c r="R4" s="20">
        <f>IFERROR(--RTD("rit2.rtd",,$Q$1,"AGBID",O4),0)</f>
        <v/>
      </c>
      <c r="S4" s="20">
        <f>IFERROR(--RTD("rit2.rtd",,$Q$1,"AGASK",O4),0)</f>
        <v/>
      </c>
      <c r="T4" s="12">
        <f>IFERROR(--RTD("rit2.rtd",,$Q$1,"AGASZ",O4),0)</f>
        <v/>
      </c>
      <c r="U4" s="12">
        <f>SUM(T$2:T4)</f>
        <v/>
      </c>
      <c r="W4" s="11" t="n">
        <v>3</v>
      </c>
      <c r="X4" s="12">
        <f>SUM(Y$2:Y4)</f>
        <v/>
      </c>
      <c r="Y4" s="12">
        <f>IFERROR(--RTD("rit2.rtd",,$Y$1,"AGBSZ",W4),0)</f>
        <v/>
      </c>
      <c r="Z4" s="20">
        <f>IFERROR(--RTD("rit2.rtd",,$Y$1,"AGBID",W4),0)</f>
        <v/>
      </c>
      <c r="AA4" s="20">
        <f>IFERROR(--RTD("rit2.rtd",,$Y$1,"AGASK",W4),0)</f>
        <v/>
      </c>
      <c r="AB4" s="12">
        <f>IFERROR(--RTD("rit2.rtd",,$Y$1,"AGASZ",W4),0)</f>
        <v/>
      </c>
      <c r="AC4" s="12">
        <f>SUM(AB$2:AB4)</f>
        <v/>
      </c>
    </row>
    <row r="5">
      <c r="A5" s="16" t="inlineStr">
        <is>
          <t>Security</t>
        </is>
      </c>
      <c r="B5" s="16">
        <f>IFERROR(LEFT(E5,FIND(",",E5)-1),"")</f>
        <v/>
      </c>
      <c r="D5" s="11" t="inlineStr">
        <is>
          <t>remain 1</t>
        </is>
      </c>
      <c r="E5" s="16">
        <f>IFERROR(MID(E4,FIND(",",E4)+1,999),"")</f>
        <v/>
      </c>
      <c r="G5" s="11" t="n">
        <v>4</v>
      </c>
      <c r="H5" s="12">
        <f>SUM(I$2:I5)</f>
        <v/>
      </c>
      <c r="I5" s="12">
        <f>IFERROR(--RTD("rit2.rtd",,$I$1,"AGBSZ",G5),0)</f>
        <v/>
      </c>
      <c r="J5" s="20">
        <f>IFERROR(--RTD("rit2.rtd",,$I$1,"AGBID",G5),0)</f>
        <v/>
      </c>
      <c r="K5" s="20">
        <f>IFERROR(--RTD("rit2.rtd",,$I$1,"AGASK",G5),0)</f>
        <v/>
      </c>
      <c r="L5" s="12">
        <f>IFERROR(--RTD("rit2.rtd",,$I$1,"AGASZ",G5),0)</f>
        <v/>
      </c>
      <c r="M5" s="12">
        <f>SUM(L$2:L5)</f>
        <v/>
      </c>
      <c r="O5" s="11" t="n">
        <v>4</v>
      </c>
      <c r="P5" s="12">
        <f>SUM(Q$2:Q5)</f>
        <v/>
      </c>
      <c r="Q5" s="12">
        <f>IFERROR(--RTD("rit2.rtd",,$Q$1,"AGBSZ",O5),0)</f>
        <v/>
      </c>
      <c r="R5" s="20">
        <f>IFERROR(--RTD("rit2.rtd",,$Q$1,"AGBID",O5),0)</f>
        <v/>
      </c>
      <c r="S5" s="20">
        <f>IFERROR(--RTD("rit2.rtd",,$Q$1,"AGASK",O5),0)</f>
        <v/>
      </c>
      <c r="T5" s="12">
        <f>IFERROR(--RTD("rit2.rtd",,$Q$1,"AGASZ",O5),0)</f>
        <v/>
      </c>
      <c r="U5" s="12">
        <f>SUM(T$2:T5)</f>
        <v/>
      </c>
      <c r="W5" s="11" t="n">
        <v>4</v>
      </c>
      <c r="X5" s="12">
        <f>SUM(Y$2:Y5)</f>
        <v/>
      </c>
      <c r="Y5" s="12">
        <f>IFERROR(--RTD("rit2.rtd",,$Y$1,"AGBSZ",W5),0)</f>
        <v/>
      </c>
      <c r="Z5" s="20">
        <f>IFERROR(--RTD("rit2.rtd",,$Y$1,"AGBID",W5),0)</f>
        <v/>
      </c>
      <c r="AA5" s="20">
        <f>IFERROR(--RTD("rit2.rtd",,$Y$1,"AGASK",W5),0)</f>
        <v/>
      </c>
      <c r="AB5" s="12">
        <f>IFERROR(--RTD("rit2.rtd",,$Y$1,"AGASZ",W5),0)</f>
        <v/>
      </c>
      <c r="AC5" s="12">
        <f>SUM(AB$2:AB5)</f>
        <v/>
      </c>
    </row>
    <row r="6">
      <c r="A6" s="16" t="inlineStr">
        <is>
          <t>Sec Number</t>
        </is>
      </c>
      <c r="B6" s="16">
        <f>IF(B5="","",IF(B5="CRZY",1,IF(B5="TAME",2,3)))</f>
        <v/>
      </c>
      <c r="D6" s="11" t="inlineStr">
        <is>
          <t>remain 2</t>
        </is>
      </c>
      <c r="E6" s="16">
        <f>IFERROR(MID(E5,FIND(",",E5)+1,999),"")</f>
        <v/>
      </c>
      <c r="G6" s="11" t="n">
        <v>5</v>
      </c>
      <c r="H6" s="12">
        <f>SUM(I$2:I6)</f>
        <v/>
      </c>
      <c r="I6" s="12">
        <f>IFERROR(--RTD("rit2.rtd",,$I$1,"AGBSZ",G6),0)</f>
        <v/>
      </c>
      <c r="J6" s="20">
        <f>IFERROR(--RTD("rit2.rtd",,$I$1,"AGBID",G6),0)</f>
        <v/>
      </c>
      <c r="K6" s="20">
        <f>IFERROR(--RTD("rit2.rtd",,$I$1,"AGASK",G6),0)</f>
        <v/>
      </c>
      <c r="L6" s="12">
        <f>IFERROR(--RTD("rit2.rtd",,$I$1,"AGASZ",G6),0)</f>
        <v/>
      </c>
      <c r="M6" s="12">
        <f>SUM(L$2:L6)</f>
        <v/>
      </c>
      <c r="O6" s="11" t="n">
        <v>5</v>
      </c>
      <c r="P6" s="12">
        <f>SUM(Q$2:Q6)</f>
        <v/>
      </c>
      <c r="Q6" s="12">
        <f>IFERROR(--RTD("rit2.rtd",,$Q$1,"AGBSZ",O6),0)</f>
        <v/>
      </c>
      <c r="R6" s="20">
        <f>IFERROR(--RTD("rit2.rtd",,$Q$1,"AGBID",O6),0)</f>
        <v/>
      </c>
      <c r="S6" s="20">
        <f>IFERROR(--RTD("rit2.rtd",,$Q$1,"AGASK",O6),0)</f>
        <v/>
      </c>
      <c r="T6" s="12">
        <f>IFERROR(--RTD("rit2.rtd",,$Q$1,"AGASZ",O6),0)</f>
        <v/>
      </c>
      <c r="U6" s="12">
        <f>SUM(T$2:T6)</f>
        <v/>
      </c>
      <c r="W6" s="11" t="n">
        <v>5</v>
      </c>
      <c r="X6" s="12">
        <f>SUM(Y$2:Y6)</f>
        <v/>
      </c>
      <c r="Y6" s="12">
        <f>IFERROR(--RTD("rit2.rtd",,$Y$1,"AGBSZ",W6),0)</f>
        <v/>
      </c>
      <c r="Z6" s="20">
        <f>IFERROR(--RTD("rit2.rtd",,$Y$1,"AGBID",W6),0)</f>
        <v/>
      </c>
      <c r="AA6" s="20">
        <f>IFERROR(--RTD("rit2.rtd",,$Y$1,"AGASK",W6),0)</f>
        <v/>
      </c>
      <c r="AB6" s="12">
        <f>IFERROR(--RTD("rit2.rtd",,$Y$1,"AGASZ",W6),0)</f>
        <v/>
      </c>
      <c r="AC6" s="12">
        <f>SUM(AB$2:AB6)</f>
        <v/>
      </c>
    </row>
    <row r="7">
      <c r="A7" s="16" t="inlineStr">
        <is>
          <t>Volume</t>
        </is>
      </c>
      <c r="B7" s="16">
        <f>IFERROR(VALUE(LEFT(E6,FIND(",",E6)-1)),"")</f>
        <v/>
      </c>
      <c r="C7" s="16">
        <f>IFERROR(IF(B7&gt;0,"BUY",IF(B7&lt;0,"SELL","")),"")</f>
        <v/>
      </c>
      <c r="D7" s="11" t="inlineStr">
        <is>
          <t>remain 3</t>
        </is>
      </c>
      <c r="E7" s="16">
        <f>IFERROR(MID(E6,FIND(",",E6)+1,999),"")</f>
        <v/>
      </c>
      <c r="G7" s="11" t="n">
        <v>6</v>
      </c>
      <c r="H7" s="12">
        <f>SUM(I$2:I7)</f>
        <v/>
      </c>
      <c r="I7" s="12">
        <f>IFERROR(--RTD("rit2.rtd",,$I$1,"AGBSZ",G7),0)</f>
        <v/>
      </c>
      <c r="J7" s="20">
        <f>IFERROR(--RTD("rit2.rtd",,$I$1,"AGBID",G7),0)</f>
        <v/>
      </c>
      <c r="K7" s="20">
        <f>IFERROR(--RTD("rit2.rtd",,$I$1,"AGASK",G7),0)</f>
        <v/>
      </c>
      <c r="L7" s="12">
        <f>IFERROR(--RTD("rit2.rtd",,$I$1,"AGASZ",G7),0)</f>
        <v/>
      </c>
      <c r="M7" s="12">
        <f>SUM(L$2:L7)</f>
        <v/>
      </c>
      <c r="O7" s="11" t="n">
        <v>6</v>
      </c>
      <c r="P7" s="12">
        <f>SUM(Q$2:Q7)</f>
        <v/>
      </c>
      <c r="Q7" s="12">
        <f>IFERROR(--RTD("rit2.rtd",,$Q$1,"AGBSZ",O7),0)</f>
        <v/>
      </c>
      <c r="R7" s="20">
        <f>IFERROR(--RTD("rit2.rtd",,$Q$1,"AGBID",O7),0)</f>
        <v/>
      </c>
      <c r="S7" s="20">
        <f>IFERROR(--RTD("rit2.rtd",,$Q$1,"AGASK",O7),0)</f>
        <v/>
      </c>
      <c r="T7" s="12">
        <f>IFERROR(--RTD("rit2.rtd",,$Q$1,"AGASZ",O7),0)</f>
        <v/>
      </c>
      <c r="U7" s="12">
        <f>SUM(T$2:T7)</f>
        <v/>
      </c>
      <c r="W7" s="11" t="n">
        <v>6</v>
      </c>
      <c r="X7" s="12">
        <f>SUM(Y$2:Y7)</f>
        <v/>
      </c>
      <c r="Y7" s="12">
        <f>IFERROR(--RTD("rit2.rtd",,$Y$1,"AGBSZ",W7),0)</f>
        <v/>
      </c>
      <c r="Z7" s="20">
        <f>IFERROR(--RTD("rit2.rtd",,$Y$1,"AGBID",W7),0)</f>
        <v/>
      </c>
      <c r="AA7" s="20">
        <f>IFERROR(--RTD("rit2.rtd",,$Y$1,"AGASK",W7),0)</f>
        <v/>
      </c>
      <c r="AB7" s="12">
        <f>IFERROR(--RTD("rit2.rtd",,$Y$1,"AGASZ",W7),0)</f>
        <v/>
      </c>
      <c r="AC7" s="12">
        <f>SUM(AB$2:AB7)</f>
        <v/>
      </c>
    </row>
    <row r="8">
      <c r="A8" s="16" t="inlineStr">
        <is>
          <t>Price</t>
        </is>
      </c>
      <c r="B8" s="16">
        <f>IFERROR(VALUE(LEFT(E7,FIND(",",E7)-1)),"")</f>
        <v/>
      </c>
      <c r="D8" s="11" t="inlineStr">
        <is>
          <t>remain 4</t>
        </is>
      </c>
      <c r="E8" s="16">
        <f>IFERROR(MID(E7,FIND(",",E7)+1,999),"")</f>
        <v/>
      </c>
      <c r="G8" s="11" t="n">
        <v>7</v>
      </c>
      <c r="H8" s="12">
        <f>SUM(I$2:I8)</f>
        <v/>
      </c>
      <c r="I8" s="12">
        <f>IFERROR(--RTD("rit2.rtd",,$I$1,"AGBSZ",G8),0)</f>
        <v/>
      </c>
      <c r="J8" s="20">
        <f>IFERROR(--RTD("rit2.rtd",,$I$1,"AGBID",G8),0)</f>
        <v/>
      </c>
      <c r="K8" s="20">
        <f>IFERROR(--RTD("rit2.rtd",,$I$1,"AGASK",G8),0)</f>
        <v/>
      </c>
      <c r="L8" s="12">
        <f>IFERROR(--RTD("rit2.rtd",,$I$1,"AGASZ",G8),0)</f>
        <v/>
      </c>
      <c r="M8" s="12">
        <f>SUM(L$2:L8)</f>
        <v/>
      </c>
      <c r="O8" s="11" t="n">
        <v>7</v>
      </c>
      <c r="P8" s="12">
        <f>SUM(Q$2:Q8)</f>
        <v/>
      </c>
      <c r="Q8" s="12">
        <f>IFERROR(--RTD("rit2.rtd",,$Q$1,"AGBSZ",O8),0)</f>
        <v/>
      </c>
      <c r="R8" s="20">
        <f>IFERROR(--RTD("rit2.rtd",,$Q$1,"AGBID",O8),0)</f>
        <v/>
      </c>
      <c r="S8" s="20">
        <f>IFERROR(--RTD("rit2.rtd",,$Q$1,"AGASK",O8),0)</f>
        <v/>
      </c>
      <c r="T8" s="12">
        <f>IFERROR(--RTD("rit2.rtd",,$Q$1,"AGASZ",O8),0)</f>
        <v/>
      </c>
      <c r="U8" s="12">
        <f>SUM(T$2:T8)</f>
        <v/>
      </c>
      <c r="W8" s="11" t="n">
        <v>7</v>
      </c>
      <c r="X8" s="12">
        <f>SUM(Y$2:Y8)</f>
        <v/>
      </c>
      <c r="Y8" s="12">
        <f>IFERROR(--RTD("rit2.rtd",,$Y$1,"AGBSZ",W8),0)</f>
        <v/>
      </c>
      <c r="Z8" s="20">
        <f>IFERROR(--RTD("rit2.rtd",,$Y$1,"AGBID",W8),0)</f>
        <v/>
      </c>
      <c r="AA8" s="20">
        <f>IFERROR(--RTD("rit2.rtd",,$Y$1,"AGASK",W8),0)</f>
        <v/>
      </c>
      <c r="AB8" s="12">
        <f>IFERROR(--RTD("rit2.rtd",,$Y$1,"AGASZ",W8),0)</f>
        <v/>
      </c>
      <c r="AC8" s="12">
        <f>SUM(AB$2:AB8)</f>
        <v/>
      </c>
    </row>
    <row r="9">
      <c r="A9" s="16" t="inlineStr">
        <is>
          <t>Tick received</t>
        </is>
      </c>
      <c r="B9" s="16">
        <f>IFERROR(VALUE(LEFT(E8,FIND(",",E8)-1)),"")</f>
        <v/>
      </c>
      <c r="D9" s="11" t="inlineStr">
        <is>
          <t>remain 5</t>
        </is>
      </c>
      <c r="E9" s="16">
        <f>IFERROR(MID(E8,FIND(",",E8)+1,999),"")</f>
        <v/>
      </c>
      <c r="G9" s="11" t="n">
        <v>8</v>
      </c>
      <c r="H9" s="12">
        <f>SUM(I$2:I9)</f>
        <v/>
      </c>
      <c r="I9" s="12">
        <f>IFERROR(--RTD("rit2.rtd",,$I$1,"AGBSZ",G9),0)</f>
        <v/>
      </c>
      <c r="J9" s="20">
        <f>IFERROR(--RTD("rit2.rtd",,$I$1,"AGBID",G9),0)</f>
        <v/>
      </c>
      <c r="K9" s="20">
        <f>IFERROR(--RTD("rit2.rtd",,$I$1,"AGASK",G9),0)</f>
        <v/>
      </c>
      <c r="L9" s="12">
        <f>IFERROR(--RTD("rit2.rtd",,$I$1,"AGASZ",G9),0)</f>
        <v/>
      </c>
      <c r="M9" s="12">
        <f>SUM(L$2:L9)</f>
        <v/>
      </c>
      <c r="O9" s="11" t="n">
        <v>8</v>
      </c>
      <c r="P9" s="12">
        <f>SUM(Q$2:Q9)</f>
        <v/>
      </c>
      <c r="Q9" s="12">
        <f>IFERROR(--RTD("rit2.rtd",,$Q$1,"AGBSZ",O9),0)</f>
        <v/>
      </c>
      <c r="R9" s="20">
        <f>IFERROR(--RTD("rit2.rtd",,$Q$1,"AGBID",O9),0)</f>
        <v/>
      </c>
      <c r="S9" s="20">
        <f>IFERROR(--RTD("rit2.rtd",,$Q$1,"AGASK",O9),0)</f>
        <v/>
      </c>
      <c r="T9" s="12">
        <f>IFERROR(--RTD("rit2.rtd",,$Q$1,"AGASZ",O9),0)</f>
        <v/>
      </c>
      <c r="U9" s="12">
        <f>SUM(T$2:T9)</f>
        <v/>
      </c>
      <c r="W9" s="11" t="n">
        <v>8</v>
      </c>
      <c r="X9" s="12">
        <f>SUM(Y$2:Y9)</f>
        <v/>
      </c>
      <c r="Y9" s="12">
        <f>IFERROR(--RTD("rit2.rtd",,$Y$1,"AGBSZ",W9),0)</f>
        <v/>
      </c>
      <c r="Z9" s="20">
        <f>IFERROR(--RTD("rit2.rtd",,$Y$1,"AGBID",W9),0)</f>
        <v/>
      </c>
      <c r="AA9" s="20">
        <f>IFERROR(--RTD("rit2.rtd",,$Y$1,"AGASK",W9),0)</f>
        <v/>
      </c>
      <c r="AB9" s="12">
        <f>IFERROR(--RTD("rit2.rtd",,$Y$1,"AGASZ",W9),0)</f>
        <v/>
      </c>
      <c r="AC9" s="12">
        <f>SUM(AB$2:AB9)</f>
        <v/>
      </c>
    </row>
    <row r="10">
      <c r="A10" s="16" t="inlineStr">
        <is>
          <t>Tick expired</t>
        </is>
      </c>
      <c r="B10" s="16">
        <f>IFERROR(VALUE(E9),"")</f>
        <v/>
      </c>
      <c r="G10" s="11" t="n">
        <v>9</v>
      </c>
      <c r="H10" s="12">
        <f>SUM(I$2:I10)</f>
        <v/>
      </c>
      <c r="I10" s="12">
        <f>IFERROR(--RTD("rit2.rtd",,$I$1,"AGBSZ",G10),0)</f>
        <v/>
      </c>
      <c r="J10" s="20">
        <f>IFERROR(--RTD("rit2.rtd",,$I$1,"AGBID",G10),0)</f>
        <v/>
      </c>
      <c r="K10" s="20">
        <f>IFERROR(--RTD("rit2.rtd",,$I$1,"AGASK",G10),0)</f>
        <v/>
      </c>
      <c r="L10" s="12">
        <f>IFERROR(--RTD("rit2.rtd",,$I$1,"AGASZ",G10),0)</f>
        <v/>
      </c>
      <c r="M10" s="12">
        <f>SUM(L$2:L10)</f>
        <v/>
      </c>
      <c r="O10" s="11" t="n">
        <v>9</v>
      </c>
      <c r="P10" s="12">
        <f>SUM(Q$2:Q10)</f>
        <v/>
      </c>
      <c r="Q10" s="12">
        <f>IFERROR(--RTD("rit2.rtd",,$Q$1,"AGBSZ",O10),0)</f>
        <v/>
      </c>
      <c r="R10" s="20">
        <f>IFERROR(--RTD("rit2.rtd",,$Q$1,"AGBID",O10),0)</f>
        <v/>
      </c>
      <c r="S10" s="20">
        <f>IFERROR(--RTD("rit2.rtd",,$Q$1,"AGASK",O10),0)</f>
        <v/>
      </c>
      <c r="T10" s="12">
        <f>IFERROR(--RTD("rit2.rtd",,$Q$1,"AGASZ",O10),0)</f>
        <v/>
      </c>
      <c r="U10" s="12">
        <f>SUM(T$2:T10)</f>
        <v/>
      </c>
      <c r="W10" s="11" t="n">
        <v>9</v>
      </c>
      <c r="X10" s="12">
        <f>SUM(Y$2:Y10)</f>
        <v/>
      </c>
      <c r="Y10" s="12">
        <f>IFERROR(--RTD("rit2.rtd",,$Y$1,"AGBSZ",W10),0)</f>
        <v/>
      </c>
      <c r="Z10" s="20">
        <f>IFERROR(--RTD("rit2.rtd",,$Y$1,"AGBID",W10),0)</f>
        <v/>
      </c>
      <c r="AA10" s="20">
        <f>IFERROR(--RTD("rit2.rtd",,$Y$1,"AGASK",W10),0)</f>
        <v/>
      </c>
      <c r="AB10" s="12">
        <f>IFERROR(--RTD("rit2.rtd",,$Y$1,"AGASZ",W10),0)</f>
        <v/>
      </c>
      <c r="AC10" s="12">
        <f>SUM(AB$2:AB10)</f>
        <v/>
      </c>
    </row>
    <row r="11">
      <c r="A11" s="16" t="inlineStr">
        <is>
          <t>Ticks left to decide</t>
        </is>
      </c>
      <c r="B11" s="16">
        <f>IF(OR(B10="",B1=""),"",B10-B1)</f>
        <v/>
      </c>
      <c r="G11" s="11" t="n">
        <v>10</v>
      </c>
      <c r="H11" s="12">
        <f>SUM(I$2:I11)</f>
        <v/>
      </c>
      <c r="I11" s="12">
        <f>IFERROR(--RTD("rit2.rtd",,$I$1,"AGBSZ",G11),0)</f>
        <v/>
      </c>
      <c r="J11" s="20">
        <f>IFERROR(--RTD("rit2.rtd",,$I$1,"AGBID",G11),0)</f>
        <v/>
      </c>
      <c r="K11" s="20">
        <f>IFERROR(--RTD("rit2.rtd",,$I$1,"AGASK",G11),0)</f>
        <v/>
      </c>
      <c r="L11" s="12">
        <f>IFERROR(--RTD("rit2.rtd",,$I$1,"AGASZ",G11),0)</f>
        <v/>
      </c>
      <c r="M11" s="12">
        <f>SUM(L$2:L11)</f>
        <v/>
      </c>
      <c r="O11" s="11" t="n">
        <v>10</v>
      </c>
      <c r="P11" s="12">
        <f>SUM(Q$2:Q11)</f>
        <v/>
      </c>
      <c r="Q11" s="12">
        <f>IFERROR(--RTD("rit2.rtd",,$Q$1,"AGBSZ",O11),0)</f>
        <v/>
      </c>
      <c r="R11" s="20">
        <f>IFERROR(--RTD("rit2.rtd",,$Q$1,"AGBID",O11),0)</f>
        <v/>
      </c>
      <c r="S11" s="20">
        <f>IFERROR(--RTD("rit2.rtd",,$Q$1,"AGASK",O11),0)</f>
        <v/>
      </c>
      <c r="T11" s="12">
        <f>IFERROR(--RTD("rit2.rtd",,$Q$1,"AGASZ",O11),0)</f>
        <v/>
      </c>
      <c r="U11" s="12">
        <f>SUM(T$2:T11)</f>
        <v/>
      </c>
      <c r="W11" s="11" t="n">
        <v>10</v>
      </c>
      <c r="X11" s="12">
        <f>SUM(Y$2:Y11)</f>
        <v/>
      </c>
      <c r="Y11" s="12">
        <f>IFERROR(--RTD("rit2.rtd",,$Y$1,"AGBSZ",W11),0)</f>
        <v/>
      </c>
      <c r="Z11" s="20">
        <f>IFERROR(--RTD("rit2.rtd",,$Y$1,"AGBID",W11),0)</f>
        <v/>
      </c>
      <c r="AA11" s="20">
        <f>IFERROR(--RTD("rit2.rtd",,$Y$1,"AGASK",W11),0)</f>
        <v/>
      </c>
      <c r="AB11" s="12">
        <f>IFERROR(--RTD("rit2.rtd",,$Y$1,"AGASZ",W11),0)</f>
        <v/>
      </c>
      <c r="AC11" s="12">
        <f>SUM(AB$2:AB11)</f>
        <v/>
      </c>
    </row>
    <row r="12">
      <c r="G12" s="11" t="n">
        <v>11</v>
      </c>
      <c r="H12" s="12">
        <f>SUM(I$2:I12)</f>
        <v/>
      </c>
      <c r="I12" s="12">
        <f>IFERROR(--RTD("rit2.rtd",,$I$1,"AGBSZ",G12),0)</f>
        <v/>
      </c>
      <c r="J12" s="20">
        <f>IFERROR(--RTD("rit2.rtd",,$I$1,"AGBID",G12),0)</f>
        <v/>
      </c>
      <c r="K12" s="20">
        <f>IFERROR(--RTD("rit2.rtd",,$I$1,"AGASK",G12),0)</f>
        <v/>
      </c>
      <c r="L12" s="12">
        <f>IFERROR(--RTD("rit2.rtd",,$I$1,"AGASZ",G12),0)</f>
        <v/>
      </c>
      <c r="M12" s="12">
        <f>SUM(L$2:L12)</f>
        <v/>
      </c>
      <c r="O12" s="11" t="n">
        <v>11</v>
      </c>
      <c r="P12" s="12">
        <f>SUM(Q$2:Q12)</f>
        <v/>
      </c>
      <c r="Q12" s="12">
        <f>IFERROR(--RTD("rit2.rtd",,$Q$1,"AGBSZ",O12),0)</f>
        <v/>
      </c>
      <c r="R12" s="20">
        <f>IFERROR(--RTD("rit2.rtd",,$Q$1,"AGBID",O12),0)</f>
        <v/>
      </c>
      <c r="S12" s="20">
        <f>IFERROR(--RTD("rit2.rtd",,$Q$1,"AGASK",O12),0)</f>
        <v/>
      </c>
      <c r="T12" s="12">
        <f>IFERROR(--RTD("rit2.rtd",,$Q$1,"AGASZ",O12),0)</f>
        <v/>
      </c>
      <c r="U12" s="12">
        <f>SUM(T$2:T12)</f>
        <v/>
      </c>
      <c r="W12" s="11" t="n">
        <v>11</v>
      </c>
      <c r="X12" s="12">
        <f>SUM(Y$2:Y12)</f>
        <v/>
      </c>
      <c r="Y12" s="12">
        <f>IFERROR(--RTD("rit2.rtd",,$Y$1,"AGBSZ",W12),0)</f>
        <v/>
      </c>
      <c r="Z12" s="20">
        <f>IFERROR(--RTD("rit2.rtd",,$Y$1,"AGBID",W12),0)</f>
        <v/>
      </c>
      <c r="AA12" s="20">
        <f>IFERROR(--RTD("rit2.rtd",,$Y$1,"AGASK",W12),0)</f>
        <v/>
      </c>
      <c r="AB12" s="12">
        <f>IFERROR(--RTD("rit2.rtd",,$Y$1,"AGASZ",W12),0)</f>
        <v/>
      </c>
      <c r="AC12" s="12">
        <f>SUM(AB$2:AB12)</f>
        <v/>
      </c>
    </row>
    <row r="13">
      <c r="G13" s="11" t="n">
        <v>12</v>
      </c>
      <c r="H13" s="12">
        <f>SUM(I$2:I13)</f>
        <v/>
      </c>
      <c r="I13" s="12">
        <f>IFERROR(--RTD("rit2.rtd",,$I$1,"AGBSZ",G13),0)</f>
        <v/>
      </c>
      <c r="J13" s="20">
        <f>IFERROR(--RTD("rit2.rtd",,$I$1,"AGBID",G13),0)</f>
        <v/>
      </c>
      <c r="K13" s="20">
        <f>IFERROR(--RTD("rit2.rtd",,$I$1,"AGASK",G13),0)</f>
        <v/>
      </c>
      <c r="L13" s="12">
        <f>IFERROR(--RTD("rit2.rtd",,$I$1,"AGASZ",G13),0)</f>
        <v/>
      </c>
      <c r="M13" s="12">
        <f>SUM(L$2:L13)</f>
        <v/>
      </c>
      <c r="O13" s="11" t="n">
        <v>12</v>
      </c>
      <c r="P13" s="12">
        <f>SUM(Q$2:Q13)</f>
        <v/>
      </c>
      <c r="Q13" s="12">
        <f>IFERROR(--RTD("rit2.rtd",,$Q$1,"AGBSZ",O13),0)</f>
        <v/>
      </c>
      <c r="R13" s="20">
        <f>IFERROR(--RTD("rit2.rtd",,$Q$1,"AGBID",O13),0)</f>
        <v/>
      </c>
      <c r="S13" s="20">
        <f>IFERROR(--RTD("rit2.rtd",,$Q$1,"AGASK",O13),0)</f>
        <v/>
      </c>
      <c r="T13" s="12">
        <f>IFERROR(--RTD("rit2.rtd",,$Q$1,"AGASZ",O13),0)</f>
        <v/>
      </c>
      <c r="U13" s="12">
        <f>SUM(T$2:T13)</f>
        <v/>
      </c>
      <c r="W13" s="11" t="n">
        <v>12</v>
      </c>
      <c r="X13" s="12">
        <f>SUM(Y$2:Y13)</f>
        <v/>
      </c>
      <c r="Y13" s="12">
        <f>IFERROR(--RTD("rit2.rtd",,$Y$1,"AGBSZ",W13),0)</f>
        <v/>
      </c>
      <c r="Z13" s="20">
        <f>IFERROR(--RTD("rit2.rtd",,$Y$1,"AGBID",W13),0)</f>
        <v/>
      </c>
      <c r="AA13" s="20">
        <f>IFERROR(--RTD("rit2.rtd",,$Y$1,"AGASK",W13),0)</f>
        <v/>
      </c>
      <c r="AB13" s="12">
        <f>IFERROR(--RTD("rit2.rtd",,$Y$1,"AGASZ",W13),0)</f>
        <v/>
      </c>
      <c r="AC13" s="12">
        <f>SUM(AB$2:AB13)</f>
        <v/>
      </c>
    </row>
    <row r="14">
      <c r="G14" s="11" t="n">
        <v>13</v>
      </c>
      <c r="H14" s="12">
        <f>SUM(I$2:I14)</f>
        <v/>
      </c>
      <c r="I14" s="12">
        <f>IFERROR(--RTD("rit2.rtd",,$I$1,"AGBSZ",G14),0)</f>
        <v/>
      </c>
      <c r="J14" s="20">
        <f>IFERROR(--RTD("rit2.rtd",,$I$1,"AGBID",G14),0)</f>
        <v/>
      </c>
      <c r="K14" s="20">
        <f>IFERROR(--RTD("rit2.rtd",,$I$1,"AGASK",G14),0)</f>
        <v/>
      </c>
      <c r="L14" s="12">
        <f>IFERROR(--RTD("rit2.rtd",,$I$1,"AGASZ",G14),0)</f>
        <v/>
      </c>
      <c r="M14" s="12">
        <f>SUM(L$2:L14)</f>
        <v/>
      </c>
      <c r="O14" s="11" t="n">
        <v>13</v>
      </c>
      <c r="P14" s="12">
        <f>SUM(Q$2:Q14)</f>
        <v/>
      </c>
      <c r="Q14" s="12">
        <f>IFERROR(--RTD("rit2.rtd",,$Q$1,"AGBSZ",O14),0)</f>
        <v/>
      </c>
      <c r="R14" s="20">
        <f>IFERROR(--RTD("rit2.rtd",,$Q$1,"AGBID",O14),0)</f>
        <v/>
      </c>
      <c r="S14" s="20">
        <f>IFERROR(--RTD("rit2.rtd",,$Q$1,"AGASK",O14),0)</f>
        <v/>
      </c>
      <c r="T14" s="12">
        <f>IFERROR(--RTD("rit2.rtd",,$Q$1,"AGASZ",O14),0)</f>
        <v/>
      </c>
      <c r="U14" s="12">
        <f>SUM(T$2:T14)</f>
        <v/>
      </c>
      <c r="W14" s="11" t="n">
        <v>13</v>
      </c>
      <c r="X14" s="12">
        <f>SUM(Y$2:Y14)</f>
        <v/>
      </c>
      <c r="Y14" s="12">
        <f>IFERROR(--RTD("rit2.rtd",,$Y$1,"AGBSZ",W14),0)</f>
        <v/>
      </c>
      <c r="Z14" s="20">
        <f>IFERROR(--RTD("rit2.rtd",,$Y$1,"AGBID",W14),0)</f>
        <v/>
      </c>
      <c r="AA14" s="20">
        <f>IFERROR(--RTD("rit2.rtd",,$Y$1,"AGASK",W14),0)</f>
        <v/>
      </c>
      <c r="AB14" s="12">
        <f>IFERROR(--RTD("rit2.rtd",,$Y$1,"AGASZ",W14),0)</f>
        <v/>
      </c>
      <c r="AC14" s="12">
        <f>SUM(AB$2:AB14)</f>
        <v/>
      </c>
    </row>
    <row r="15">
      <c r="G15" s="11" t="n">
        <v>14</v>
      </c>
      <c r="H15" s="12">
        <f>SUM(I$2:I15)</f>
        <v/>
      </c>
      <c r="I15" s="12">
        <f>IFERROR(--RTD("rit2.rtd",,$I$1,"AGBSZ",G15),0)</f>
        <v/>
      </c>
      <c r="J15" s="20">
        <f>IFERROR(--RTD("rit2.rtd",,$I$1,"AGBID",G15),0)</f>
        <v/>
      </c>
      <c r="K15" s="20">
        <f>IFERROR(--RTD("rit2.rtd",,$I$1,"AGASK",G15),0)</f>
        <v/>
      </c>
      <c r="L15" s="12">
        <f>IFERROR(--RTD("rit2.rtd",,$I$1,"AGASZ",G15),0)</f>
        <v/>
      </c>
      <c r="M15" s="12">
        <f>SUM(L$2:L15)</f>
        <v/>
      </c>
      <c r="O15" s="11" t="n">
        <v>14</v>
      </c>
      <c r="P15" s="12">
        <f>SUM(Q$2:Q15)</f>
        <v/>
      </c>
      <c r="Q15" s="12">
        <f>IFERROR(--RTD("rit2.rtd",,$Q$1,"AGBSZ",O15),0)</f>
        <v/>
      </c>
      <c r="R15" s="20">
        <f>IFERROR(--RTD("rit2.rtd",,$Q$1,"AGBID",O15),0)</f>
        <v/>
      </c>
      <c r="S15" s="20">
        <f>IFERROR(--RTD("rit2.rtd",,$Q$1,"AGASK",O15),0)</f>
        <v/>
      </c>
      <c r="T15" s="12">
        <f>IFERROR(--RTD("rit2.rtd",,$Q$1,"AGASZ",O15),0)</f>
        <v/>
      </c>
      <c r="U15" s="12">
        <f>SUM(T$2:T15)</f>
        <v/>
      </c>
      <c r="W15" s="11" t="n">
        <v>14</v>
      </c>
      <c r="X15" s="12">
        <f>SUM(Y$2:Y15)</f>
        <v/>
      </c>
      <c r="Y15" s="12">
        <f>IFERROR(--RTD("rit2.rtd",,$Y$1,"AGBSZ",W15),0)</f>
        <v/>
      </c>
      <c r="Z15" s="20">
        <f>IFERROR(--RTD("rit2.rtd",,$Y$1,"AGBID",W15),0)</f>
        <v/>
      </c>
      <c r="AA15" s="20">
        <f>IFERROR(--RTD("rit2.rtd",,$Y$1,"AGASK",W15),0)</f>
        <v/>
      </c>
      <c r="AB15" s="12">
        <f>IFERROR(--RTD("rit2.rtd",,$Y$1,"AGASZ",W15),0)</f>
        <v/>
      </c>
      <c r="AC15" s="12">
        <f>SUM(AB$2:AB15)</f>
        <v/>
      </c>
    </row>
    <row r="16">
      <c r="G16" s="11" t="n">
        <v>15</v>
      </c>
      <c r="H16" s="12">
        <f>SUM(I$2:I16)</f>
        <v/>
      </c>
      <c r="I16" s="12">
        <f>IFERROR(--RTD("rit2.rtd",,$I$1,"AGBSZ",G16),0)</f>
        <v/>
      </c>
      <c r="J16" s="20">
        <f>IFERROR(--RTD("rit2.rtd",,$I$1,"AGBID",G16),0)</f>
        <v/>
      </c>
      <c r="K16" s="20">
        <f>IFERROR(--RTD("rit2.rtd",,$I$1,"AGASK",G16),0)</f>
        <v/>
      </c>
      <c r="L16" s="12">
        <f>IFERROR(--RTD("rit2.rtd",,$I$1,"AGASZ",G16),0)</f>
        <v/>
      </c>
      <c r="M16" s="12">
        <f>SUM(L$2:L16)</f>
        <v/>
      </c>
      <c r="O16" s="11" t="n">
        <v>15</v>
      </c>
      <c r="P16" s="12">
        <f>SUM(Q$2:Q16)</f>
        <v/>
      </c>
      <c r="Q16" s="12">
        <f>IFERROR(--RTD("rit2.rtd",,$Q$1,"AGBSZ",O16),0)</f>
        <v/>
      </c>
      <c r="R16" s="20">
        <f>IFERROR(--RTD("rit2.rtd",,$Q$1,"AGBID",O16),0)</f>
        <v/>
      </c>
      <c r="S16" s="20">
        <f>IFERROR(--RTD("rit2.rtd",,$Q$1,"AGASK",O16),0)</f>
        <v/>
      </c>
      <c r="T16" s="12">
        <f>IFERROR(--RTD("rit2.rtd",,$Q$1,"AGASZ",O16),0)</f>
        <v/>
      </c>
      <c r="U16" s="12">
        <f>SUM(T$2:T16)</f>
        <v/>
      </c>
      <c r="W16" s="11" t="n">
        <v>15</v>
      </c>
      <c r="X16" s="12">
        <f>SUM(Y$2:Y16)</f>
        <v/>
      </c>
      <c r="Y16" s="12">
        <f>IFERROR(--RTD("rit2.rtd",,$Y$1,"AGBSZ",W16),0)</f>
        <v/>
      </c>
      <c r="Z16" s="20">
        <f>IFERROR(--RTD("rit2.rtd",,$Y$1,"AGBID",W16),0)</f>
        <v/>
      </c>
      <c r="AA16" s="20">
        <f>IFERROR(--RTD("rit2.rtd",,$Y$1,"AGASK",W16),0)</f>
        <v/>
      </c>
      <c r="AB16" s="12">
        <f>IFERROR(--RTD("rit2.rtd",,$Y$1,"AGASZ",W16),0)</f>
        <v/>
      </c>
      <c r="AC16" s="12">
        <f>SUM(AB$2:AB16)</f>
        <v/>
      </c>
    </row>
    <row r="17">
      <c r="G17" s="11" t="n">
        <v>16</v>
      </c>
      <c r="H17" s="12">
        <f>SUM(I$2:I17)</f>
        <v/>
      </c>
      <c r="I17" s="12">
        <f>IFERROR(--RTD("rit2.rtd",,$I$1,"AGBSZ",G17),0)</f>
        <v/>
      </c>
      <c r="J17" s="20">
        <f>IFERROR(--RTD("rit2.rtd",,$I$1,"AGBID",G17),0)</f>
        <v/>
      </c>
      <c r="K17" s="20">
        <f>IFERROR(--RTD("rit2.rtd",,$I$1,"AGASK",G17),0)</f>
        <v/>
      </c>
      <c r="L17" s="12">
        <f>IFERROR(--RTD("rit2.rtd",,$I$1,"AGASZ",G17),0)</f>
        <v/>
      </c>
      <c r="M17" s="12">
        <f>SUM(L$2:L17)</f>
        <v/>
      </c>
      <c r="O17" s="11" t="n">
        <v>16</v>
      </c>
      <c r="P17" s="12">
        <f>SUM(Q$2:Q17)</f>
        <v/>
      </c>
      <c r="Q17" s="12">
        <f>IFERROR(--RTD("rit2.rtd",,$Q$1,"AGBSZ",O17),0)</f>
        <v/>
      </c>
      <c r="R17" s="20">
        <f>IFERROR(--RTD("rit2.rtd",,$Q$1,"AGBID",O17),0)</f>
        <v/>
      </c>
      <c r="S17" s="20">
        <f>IFERROR(--RTD("rit2.rtd",,$Q$1,"AGASK",O17),0)</f>
        <v/>
      </c>
      <c r="T17" s="12">
        <f>IFERROR(--RTD("rit2.rtd",,$Q$1,"AGASZ",O17),0)</f>
        <v/>
      </c>
      <c r="U17" s="12">
        <f>SUM(T$2:T17)</f>
        <v/>
      </c>
      <c r="W17" s="11" t="n">
        <v>16</v>
      </c>
      <c r="X17" s="12">
        <f>SUM(Y$2:Y17)</f>
        <v/>
      </c>
      <c r="Y17" s="12">
        <f>IFERROR(--RTD("rit2.rtd",,$Y$1,"AGBSZ",W17),0)</f>
        <v/>
      </c>
      <c r="Z17" s="20">
        <f>IFERROR(--RTD("rit2.rtd",,$Y$1,"AGBID",W17),0)</f>
        <v/>
      </c>
      <c r="AA17" s="20">
        <f>IFERROR(--RTD("rit2.rtd",,$Y$1,"AGASK",W17),0)</f>
        <v/>
      </c>
      <c r="AB17" s="12">
        <f>IFERROR(--RTD("rit2.rtd",,$Y$1,"AGASZ",W17),0)</f>
        <v/>
      </c>
      <c r="AC17" s="12">
        <f>SUM(AB$2:AB17)</f>
        <v/>
      </c>
    </row>
    <row r="18">
      <c r="G18" s="11" t="n">
        <v>17</v>
      </c>
      <c r="H18" s="12">
        <f>SUM(I$2:I18)</f>
        <v/>
      </c>
      <c r="I18" s="12">
        <f>IFERROR(--RTD("rit2.rtd",,$I$1,"AGBSZ",G18),0)</f>
        <v/>
      </c>
      <c r="J18" s="20">
        <f>IFERROR(--RTD("rit2.rtd",,$I$1,"AGBID",G18),0)</f>
        <v/>
      </c>
      <c r="K18" s="20">
        <f>IFERROR(--RTD("rit2.rtd",,$I$1,"AGASK",G18),0)</f>
        <v/>
      </c>
      <c r="L18" s="12">
        <f>IFERROR(--RTD("rit2.rtd",,$I$1,"AGASZ",G18),0)</f>
        <v/>
      </c>
      <c r="M18" s="12">
        <f>SUM(L$2:L18)</f>
        <v/>
      </c>
      <c r="O18" s="11" t="n">
        <v>17</v>
      </c>
      <c r="P18" s="12">
        <f>SUM(Q$2:Q18)</f>
        <v/>
      </c>
      <c r="Q18" s="12">
        <f>IFERROR(--RTD("rit2.rtd",,$Q$1,"AGBSZ",O18),0)</f>
        <v/>
      </c>
      <c r="R18" s="20">
        <f>IFERROR(--RTD("rit2.rtd",,$Q$1,"AGBID",O18),0)</f>
        <v/>
      </c>
      <c r="S18" s="20">
        <f>IFERROR(--RTD("rit2.rtd",,$Q$1,"AGASK",O18),0)</f>
        <v/>
      </c>
      <c r="T18" s="12">
        <f>IFERROR(--RTD("rit2.rtd",,$Q$1,"AGASZ",O18),0)</f>
        <v/>
      </c>
      <c r="U18" s="12">
        <f>SUM(T$2:T18)</f>
        <v/>
      </c>
      <c r="W18" s="11" t="n">
        <v>17</v>
      </c>
      <c r="X18" s="12">
        <f>SUM(Y$2:Y18)</f>
        <v/>
      </c>
      <c r="Y18" s="12">
        <f>IFERROR(--RTD("rit2.rtd",,$Y$1,"AGBSZ",W18),0)</f>
        <v/>
      </c>
      <c r="Z18" s="20">
        <f>IFERROR(--RTD("rit2.rtd",,$Y$1,"AGBID",W18),0)</f>
        <v/>
      </c>
      <c r="AA18" s="20">
        <f>IFERROR(--RTD("rit2.rtd",,$Y$1,"AGASK",W18),0)</f>
        <v/>
      </c>
      <c r="AB18" s="12">
        <f>IFERROR(--RTD("rit2.rtd",,$Y$1,"AGASZ",W18),0)</f>
        <v/>
      </c>
      <c r="AC18" s="12">
        <f>SUM(AB$2:AB18)</f>
        <v/>
      </c>
    </row>
    <row r="19">
      <c r="G19" s="11" t="n">
        <v>18</v>
      </c>
      <c r="H19" s="12">
        <f>SUM(I$2:I19)</f>
        <v/>
      </c>
      <c r="I19" s="12">
        <f>IFERROR(--RTD("rit2.rtd",,$I$1,"AGBSZ",G19),0)</f>
        <v/>
      </c>
      <c r="J19" s="20">
        <f>IFERROR(--RTD("rit2.rtd",,$I$1,"AGBID",G19),0)</f>
        <v/>
      </c>
      <c r="K19" s="20">
        <f>IFERROR(--RTD("rit2.rtd",,$I$1,"AGASK",G19),0)</f>
        <v/>
      </c>
      <c r="L19" s="12">
        <f>IFERROR(--RTD("rit2.rtd",,$I$1,"AGASZ",G19),0)</f>
        <v/>
      </c>
      <c r="M19" s="12">
        <f>SUM(L$2:L19)</f>
        <v/>
      </c>
      <c r="O19" s="11" t="n">
        <v>18</v>
      </c>
      <c r="P19" s="12">
        <f>SUM(Q$2:Q19)</f>
        <v/>
      </c>
      <c r="Q19" s="12">
        <f>IFERROR(--RTD("rit2.rtd",,$Q$1,"AGBSZ",O19),0)</f>
        <v/>
      </c>
      <c r="R19" s="20">
        <f>IFERROR(--RTD("rit2.rtd",,$Q$1,"AGBID",O19),0)</f>
        <v/>
      </c>
      <c r="S19" s="20">
        <f>IFERROR(--RTD("rit2.rtd",,$Q$1,"AGASK",O19),0)</f>
        <v/>
      </c>
      <c r="T19" s="12">
        <f>IFERROR(--RTD("rit2.rtd",,$Q$1,"AGASZ",O19),0)</f>
        <v/>
      </c>
      <c r="U19" s="12">
        <f>SUM(T$2:T19)</f>
        <v/>
      </c>
      <c r="W19" s="11" t="n">
        <v>18</v>
      </c>
      <c r="X19" s="12">
        <f>SUM(Y$2:Y19)</f>
        <v/>
      </c>
      <c r="Y19" s="12">
        <f>IFERROR(--RTD("rit2.rtd",,$Y$1,"AGBSZ",W19),0)</f>
        <v/>
      </c>
      <c r="Z19" s="20">
        <f>IFERROR(--RTD("rit2.rtd",,$Y$1,"AGBID",W19),0)</f>
        <v/>
      </c>
      <c r="AA19" s="20">
        <f>IFERROR(--RTD("rit2.rtd",,$Y$1,"AGASK",W19),0)</f>
        <v/>
      </c>
      <c r="AB19" s="12">
        <f>IFERROR(--RTD("rit2.rtd",,$Y$1,"AGASZ",W19),0)</f>
        <v/>
      </c>
      <c r="AC19" s="12">
        <f>SUM(AB$2:AB19)</f>
        <v/>
      </c>
    </row>
    <row r="20">
      <c r="G20" s="11" t="n">
        <v>19</v>
      </c>
      <c r="H20" s="12">
        <f>SUM(I$2:I20)</f>
        <v/>
      </c>
      <c r="I20" s="12">
        <f>IFERROR(--RTD("rit2.rtd",,$I$1,"AGBSZ",G20),0)</f>
        <v/>
      </c>
      <c r="J20" s="20">
        <f>IFERROR(--RTD("rit2.rtd",,$I$1,"AGBID",G20),0)</f>
        <v/>
      </c>
      <c r="K20" s="20">
        <f>IFERROR(--RTD("rit2.rtd",,$I$1,"AGASK",G20),0)</f>
        <v/>
      </c>
      <c r="L20" s="12">
        <f>IFERROR(--RTD("rit2.rtd",,$I$1,"AGASZ",G20),0)</f>
        <v/>
      </c>
      <c r="M20" s="12">
        <f>SUM(L$2:L20)</f>
        <v/>
      </c>
      <c r="O20" s="11" t="n">
        <v>19</v>
      </c>
      <c r="P20" s="12">
        <f>SUM(Q$2:Q20)</f>
        <v/>
      </c>
      <c r="Q20" s="12">
        <f>IFERROR(--RTD("rit2.rtd",,$Q$1,"AGBSZ",O20),0)</f>
        <v/>
      </c>
      <c r="R20" s="20">
        <f>IFERROR(--RTD("rit2.rtd",,$Q$1,"AGBID",O20),0)</f>
        <v/>
      </c>
      <c r="S20" s="20">
        <f>IFERROR(--RTD("rit2.rtd",,$Q$1,"AGASK",O20),0)</f>
        <v/>
      </c>
      <c r="T20" s="12">
        <f>IFERROR(--RTD("rit2.rtd",,$Q$1,"AGASZ",O20),0)</f>
        <v/>
      </c>
      <c r="U20" s="12">
        <f>SUM(T$2:T20)</f>
        <v/>
      </c>
      <c r="W20" s="11" t="n">
        <v>19</v>
      </c>
      <c r="X20" s="12">
        <f>SUM(Y$2:Y20)</f>
        <v/>
      </c>
      <c r="Y20" s="12">
        <f>IFERROR(--RTD("rit2.rtd",,$Y$1,"AGBSZ",W20),0)</f>
        <v/>
      </c>
      <c r="Z20" s="20">
        <f>IFERROR(--RTD("rit2.rtd",,$Y$1,"AGBID",W20),0)</f>
        <v/>
      </c>
      <c r="AA20" s="20">
        <f>IFERROR(--RTD("rit2.rtd",,$Y$1,"AGASK",W20),0)</f>
        <v/>
      </c>
      <c r="AB20" s="12">
        <f>IFERROR(--RTD("rit2.rtd",,$Y$1,"AGASZ",W20),0)</f>
        <v/>
      </c>
      <c r="AC20" s="12">
        <f>SUM(AB$2:AB20)</f>
        <v/>
      </c>
    </row>
    <row r="21">
      <c r="G21" s="11" t="n">
        <v>20</v>
      </c>
      <c r="H21" s="12">
        <f>SUM(I$2:I21)</f>
        <v/>
      </c>
      <c r="I21" s="12">
        <f>IFERROR(--RTD("rit2.rtd",,$I$1,"AGBSZ",G21),0)</f>
        <v/>
      </c>
      <c r="J21" s="20">
        <f>IFERROR(--RTD("rit2.rtd",,$I$1,"AGBID",G21),0)</f>
        <v/>
      </c>
      <c r="K21" s="20">
        <f>IFERROR(--RTD("rit2.rtd",,$I$1,"AGASK",G21),0)</f>
        <v/>
      </c>
      <c r="L21" s="12">
        <f>IFERROR(--RTD("rit2.rtd",,$I$1,"AGASZ",G21),0)</f>
        <v/>
      </c>
      <c r="M21" s="12">
        <f>SUM(L$2:L21)</f>
        <v/>
      </c>
      <c r="O21" s="11" t="n">
        <v>20</v>
      </c>
      <c r="P21" s="12">
        <f>SUM(Q$2:Q21)</f>
        <v/>
      </c>
      <c r="Q21" s="12">
        <f>IFERROR(--RTD("rit2.rtd",,$Q$1,"AGBSZ",O21),0)</f>
        <v/>
      </c>
      <c r="R21" s="20">
        <f>IFERROR(--RTD("rit2.rtd",,$Q$1,"AGBID",O21),0)</f>
        <v/>
      </c>
      <c r="S21" s="20">
        <f>IFERROR(--RTD("rit2.rtd",,$Q$1,"AGASK",O21),0)</f>
        <v/>
      </c>
      <c r="T21" s="12">
        <f>IFERROR(--RTD("rit2.rtd",,$Q$1,"AGASZ",O21),0)</f>
        <v/>
      </c>
      <c r="U21" s="12">
        <f>SUM(T$2:T21)</f>
        <v/>
      </c>
      <c r="W21" s="11" t="n">
        <v>20</v>
      </c>
      <c r="X21" s="12">
        <f>SUM(Y$2:Y21)</f>
        <v/>
      </c>
      <c r="Y21" s="12">
        <f>IFERROR(--RTD("rit2.rtd",,$Y$1,"AGBSZ",W21),0)</f>
        <v/>
      </c>
      <c r="Z21" s="20">
        <f>IFERROR(--RTD("rit2.rtd",,$Y$1,"AGBID",W21),0)</f>
        <v/>
      </c>
      <c r="AA21" s="20">
        <f>IFERROR(--RTD("rit2.rtd",,$Y$1,"AGASK",W21),0)</f>
        <v/>
      </c>
      <c r="AB21" s="12">
        <f>IFERROR(--RTD("rit2.rtd",,$Y$1,"AGASZ",W21),0)</f>
        <v/>
      </c>
      <c r="AC21" s="12">
        <f>SUM(AB$2:AB21)</f>
        <v/>
      </c>
    </row>
    <row r="23">
      <c r="A23" s="15" t="inlineStr">
        <is>
          <t>Tender evaluation (Objective 1: price it off the order book)</t>
        </is>
      </c>
    </row>
    <row r="25">
      <c r="A25" s="16" t="inlineStr">
        <is>
          <t>Commission per share (brief: $0.02)</t>
        </is>
      </c>
      <c r="B25" s="18" t="n">
        <v>0.02</v>
      </c>
      <c r="G25" s="1" t="inlineStr">
        <is>
          <t>Level</t>
        </is>
      </c>
      <c r="H25" s="1" t="inlineStr">
        <is>
          <t>Price</t>
        </is>
      </c>
      <c r="I25" s="1" t="inlineStr">
        <is>
          <t>Size x refill</t>
        </is>
      </c>
      <c r="J25" s="1" t="inlineStr">
        <is>
          <t>Before</t>
        </is>
      </c>
      <c r="K25" s="1" t="inlineStr">
        <is>
          <t>Taken</t>
        </is>
      </c>
      <c r="L25" s="1" t="inlineStr">
        <is>
          <t>Value</t>
        </is>
      </c>
    </row>
    <row r="26">
      <c r="A26" s="16" t="inlineStr">
        <is>
          <t>Book refill factor (bot: 2.0)</t>
        </is>
      </c>
      <c r="B26" s="19" t="n">
        <v>2</v>
      </c>
      <c r="G26" s="11" t="n">
        <v>1</v>
      </c>
      <c r="H26" s="20">
        <f>IF($B$7="",0,IF($B$7&gt;0,CHOOSE($B$6,J2,R2,Z2),CHOOSE($B$6,K2,S2,AA2)))</f>
        <v/>
      </c>
      <c r="I26" s="12">
        <f>IF($B$7="",0,IF($B$7&gt;0,CHOOSE($B$6,I2,Q2,Y2),CHOOSE($B$6,L2,T2,AB2))*$B$26)</f>
        <v/>
      </c>
      <c r="J26" s="12">
        <f>0</f>
        <v/>
      </c>
      <c r="K26" s="12">
        <f>IF($B$32="",0,MIN(I26,MAX(0,$B$32-J26)))</f>
        <v/>
      </c>
      <c r="L26" s="21">
        <f>H26*K26</f>
        <v/>
      </c>
    </row>
    <row r="27">
      <c r="A27" s="16" t="inlineStr">
        <is>
          <t>Min profit per share (bot: 0.01)</t>
        </is>
      </c>
      <c r="B27" s="18" t="n">
        <v>0.01</v>
      </c>
      <c r="G27" s="11" t="n">
        <v>2</v>
      </c>
      <c r="H27" s="20">
        <f>IF($B$7="",0,IF($B$7&gt;0,CHOOSE($B$6,J3,R3,Z3),CHOOSE($B$6,K3,S3,AA3)))</f>
        <v/>
      </c>
      <c r="I27" s="12">
        <f>IF($B$7="",0,IF($B$7&gt;0,CHOOSE($B$6,I3,Q3,Y3),CHOOSE($B$6,L3,T3,AB3))*$B$26)</f>
        <v/>
      </c>
      <c r="J27" s="12">
        <f>J26+I26</f>
        <v/>
      </c>
      <c r="K27" s="12">
        <f>IF($B$32="",0,MIN(I27,MAX(0,$B$32-J27)))</f>
        <v/>
      </c>
      <c r="L27" s="21">
        <f>H27*K27</f>
        <v/>
      </c>
    </row>
    <row r="28">
      <c r="A28" s="16" t="inlineStr">
        <is>
          <t>Exit cost if held to the bell (per share)</t>
        </is>
      </c>
      <c r="B28" s="18" t="n">
        <v>0.01</v>
      </c>
      <c r="G28" s="11" t="n">
        <v>3</v>
      </c>
      <c r="H28" s="20">
        <f>IF($B$7="",0,IF($B$7&gt;0,CHOOSE($B$6,J4,R4,Z4),CHOOSE($B$6,K4,S4,AA4)))</f>
        <v/>
      </c>
      <c r="I28" s="12">
        <f>IF($B$7="",0,IF($B$7&gt;0,CHOOSE($B$6,I4,Q4,Y4),CHOOSE($B$6,L4,T4,AB4))*$B$26)</f>
        <v/>
      </c>
      <c r="J28" s="12">
        <f>J27+I27</f>
        <v/>
      </c>
      <c r="K28" s="12">
        <f>IF($B$32="",0,MIN(I28,MAX(0,$B$32-J28)))</f>
        <v/>
      </c>
      <c r="L28" s="21">
        <f>H28*K28</f>
        <v/>
      </c>
    </row>
    <row r="29">
      <c r="A29" s="16" t="inlineStr">
        <is>
          <t>Auction margin (bot: 0.05)</t>
        </is>
      </c>
      <c r="B29" s="18" t="n">
        <v>0.05</v>
      </c>
      <c r="G29" s="11" t="n">
        <v>4</v>
      </c>
      <c r="H29" s="20">
        <f>IF($B$7="",0,IF($B$7&gt;0,CHOOSE($B$6,J5,R5,Z5),CHOOSE($B$6,K5,S5,AA5)))</f>
        <v/>
      </c>
      <c r="I29" s="12">
        <f>IF($B$7="",0,IF($B$7&gt;0,CHOOSE($B$6,I5,Q5,Y5),CHOOSE($B$6,L5,T5,AB5))*$B$26)</f>
        <v/>
      </c>
      <c r="J29" s="12">
        <f>J28+I28</f>
        <v/>
      </c>
      <c r="K29" s="12">
        <f>IF($B$32="",0,MIN(I29,MAX(0,$B$32-J29)))</f>
        <v/>
      </c>
      <c r="L29" s="21">
        <f>H29*K29</f>
        <v/>
      </c>
    </row>
    <row r="30">
      <c r="G30" s="11" t="n">
        <v>5</v>
      </c>
      <c r="H30" s="20">
        <f>IF($B$7="",0,IF($B$7&gt;0,CHOOSE($B$6,J6,R6,Z6),CHOOSE($B$6,K6,S6,AA6)))</f>
        <v/>
      </c>
      <c r="I30" s="12">
        <f>IF($B$7="",0,IF($B$7&gt;0,CHOOSE($B$6,I6,Q6,Y6),CHOOSE($B$6,L6,T6,AB6))*$B$26)</f>
        <v/>
      </c>
      <c r="J30" s="12">
        <f>J29+I29</f>
        <v/>
      </c>
      <c r="K30" s="12">
        <f>IF($B$32="",0,MIN(I30,MAX(0,$B$32-J30)))</f>
        <v/>
      </c>
      <c r="L30" s="21">
        <f>H30*K30</f>
        <v/>
      </c>
    </row>
    <row r="31">
      <c r="A31" s="16" t="inlineStr">
        <is>
          <t>Unwind side</t>
        </is>
      </c>
      <c r="B31" s="16">
        <f>IF(B7="","",IF(B7&gt;0,"SELL into the bids",IF(B7&lt;0,"BUY from the asks","")))</f>
        <v/>
      </c>
      <c r="G31" s="11" t="n">
        <v>6</v>
      </c>
      <c r="H31" s="20">
        <f>IF($B$7="",0,IF($B$7&gt;0,CHOOSE($B$6,J7,R7,Z7),CHOOSE($B$6,K7,S7,AA7)))</f>
        <v/>
      </c>
      <c r="I31" s="12">
        <f>IF($B$7="",0,IF($B$7&gt;0,CHOOSE($B$6,I7,Q7,Y7),CHOOSE($B$6,L7,T7,AB7))*$B$26)</f>
        <v/>
      </c>
      <c r="J31" s="12">
        <f>J30+I30</f>
        <v/>
      </c>
      <c r="K31" s="12">
        <f>IF($B$32="",0,MIN(I31,MAX(0,$B$32-J31)))</f>
        <v/>
      </c>
      <c r="L31" s="21">
        <f>H31*K31</f>
        <v/>
      </c>
    </row>
    <row r="32">
      <c r="A32" s="16" t="inlineStr">
        <is>
          <t>Shares to unwind</t>
        </is>
      </c>
      <c r="B32" s="12">
        <f>IF(B7="","",ABS(B7))</f>
        <v/>
      </c>
      <c r="G32" s="11" t="n">
        <v>7</v>
      </c>
      <c r="H32" s="20">
        <f>IF($B$7="",0,IF($B$7&gt;0,CHOOSE($B$6,J8,R8,Z8),CHOOSE($B$6,K8,S8,AA8)))</f>
        <v/>
      </c>
      <c r="I32" s="12">
        <f>IF($B$7="",0,IF($B$7&gt;0,CHOOSE($B$6,I8,Q8,Y8),CHOOSE($B$6,L8,T8,AB8))*$B$26)</f>
        <v/>
      </c>
      <c r="J32" s="12">
        <f>J31+I31</f>
        <v/>
      </c>
      <c r="K32" s="12">
        <f>IF($B$32="",0,MIN(I32,MAX(0,$B$32-J32)))</f>
        <v/>
      </c>
      <c r="L32" s="21">
        <f>H32*K32</f>
        <v/>
      </c>
    </row>
    <row r="33">
      <c r="A33" s="16" t="inlineStr">
        <is>
          <t>Mid now</t>
        </is>
      </c>
      <c r="B33" s="20">
        <f>IFERROR((CHOOSE(B6,J2,R2,Z2)+CHOOSE(B6,K2,S2,AA2))/2,"")</f>
        <v/>
      </c>
      <c r="G33" s="11" t="n">
        <v>8</v>
      </c>
      <c r="H33" s="20">
        <f>IF($B$7="",0,IF($B$7&gt;0,CHOOSE($B$6,J9,R9,Z9),CHOOSE($B$6,K9,S9,AA9)))</f>
        <v/>
      </c>
      <c r="I33" s="12">
        <f>IF($B$7="",0,IF($B$7&gt;0,CHOOSE($B$6,I9,Q9,Y9),CHOOSE($B$6,L9,T9,AB9))*$B$26)</f>
        <v/>
      </c>
      <c r="J33" s="12">
        <f>J32+I32</f>
        <v/>
      </c>
      <c r="K33" s="12">
        <f>IF($B$32="",0,MIN(I33,MAX(0,$B$32-J33)))</f>
        <v/>
      </c>
      <c r="L33" s="21">
        <f>H33*K33</f>
        <v/>
      </c>
    </row>
    <row r="34">
      <c r="A34" s="16" t="inlineStr">
        <is>
          <t>Exit VWAP walking the book (x refill)</t>
        </is>
      </c>
      <c r="B34" s="22">
        <f>IF(OR(B32="",K46=0),"",(L46+(B32-K46)*(INDEX(H26:H45,COUNTIF(K26:K45,"&gt;0"))-SIGN(B7)*0.05))/B32)</f>
        <v/>
      </c>
      <c r="G34" s="11" t="n">
        <v>9</v>
      </c>
      <c r="H34" s="20">
        <f>IF($B$7="",0,IF($B$7&gt;0,CHOOSE($B$6,J10,R10,Z10),CHOOSE($B$6,K10,S10,AA10)))</f>
        <v/>
      </c>
      <c r="I34" s="12">
        <f>IF($B$7="",0,IF($B$7&gt;0,CHOOSE($B$6,I10,Q10,Y10),CHOOSE($B$6,L10,T10,AB10))*$B$26)</f>
        <v/>
      </c>
      <c r="J34" s="12">
        <f>J33+I33</f>
        <v/>
      </c>
      <c r="K34" s="12">
        <f>IF($B$32="",0,MIN(I34,MAX(0,$B$32-J34)))</f>
        <v/>
      </c>
      <c r="L34" s="21">
        <f>H34*K34</f>
        <v/>
      </c>
    </row>
    <row r="35">
      <c r="A35" s="16" t="inlineStr">
        <is>
          <t>Shares beyond the visible book</t>
        </is>
      </c>
      <c r="B35" s="12">
        <f>IF(B32="","",B32-K46)</f>
        <v/>
      </c>
      <c r="G35" s="11" t="n">
        <v>10</v>
      </c>
      <c r="H35" s="20">
        <f>IF($B$7="",0,IF($B$7&gt;0,CHOOSE($B$6,J11,R11,Z11),CHOOSE($B$6,K11,S11,AA11)))</f>
        <v/>
      </c>
      <c r="I35" s="12">
        <f>IF($B$7="",0,IF($B$7&gt;0,CHOOSE($B$6,I11,Q11,Y11),CHOOSE($B$6,L11,T11,AB11))*$B$26)</f>
        <v/>
      </c>
      <c r="J35" s="12">
        <f>J34+I34</f>
        <v/>
      </c>
      <c r="K35" s="12">
        <f>IF($B$32="",0,MIN(I35,MAX(0,$B$32-J35)))</f>
        <v/>
      </c>
      <c r="L35" s="21">
        <f>H35*K35</f>
        <v/>
      </c>
    </row>
    <row r="36">
      <c r="A36" s="16" t="inlineStr">
        <is>
          <t>Profit/share walking the book, after commission</t>
        </is>
      </c>
      <c r="B36" s="23">
        <f>IF(OR(B8="",B8=0,B34=""),"",SIGN(B7)*(B34-B8)-B25)</f>
        <v/>
      </c>
      <c r="G36" s="11" t="n">
        <v>11</v>
      </c>
      <c r="H36" s="20">
        <f>IF($B$7="",0,IF($B$7&gt;0,CHOOSE($B$6,J12,R12,Z12),CHOOSE($B$6,K12,S12,AA12)))</f>
        <v/>
      </c>
      <c r="I36" s="12">
        <f>IF($B$7="",0,IF($B$7&gt;0,CHOOSE($B$6,I12,Q12,Y12),CHOOSE($B$6,L12,T12,AB12))*$B$26)</f>
        <v/>
      </c>
      <c r="J36" s="12">
        <f>J35+I35</f>
        <v/>
      </c>
      <c r="K36" s="12">
        <f>IF($B$32="",0,MIN(I36,MAX(0,$B$32-J36)))</f>
        <v/>
      </c>
      <c r="L36" s="21">
        <f>H36*K36</f>
        <v/>
      </c>
    </row>
    <row r="37">
      <c r="A37" s="16" t="inlineStr">
        <is>
          <t>Total profit walking the book</t>
        </is>
      </c>
      <c r="B37" s="24">
        <f>IF(B36="","",B36*B32)</f>
        <v/>
      </c>
      <c r="G37" s="11" t="n">
        <v>12</v>
      </c>
      <c r="H37" s="20">
        <f>IF($B$7="",0,IF($B$7&gt;0,CHOOSE($B$6,J13,R13,Z13),CHOOSE($B$6,K13,S13,AA13)))</f>
        <v/>
      </c>
      <c r="I37" s="12">
        <f>IF($B$7="",0,IF($B$7&gt;0,CHOOSE($B$6,I13,Q13,Y13),CHOOSE($B$6,L13,T13,AB13))*$B$26)</f>
        <v/>
      </c>
      <c r="J37" s="12">
        <f>J36+I36</f>
        <v/>
      </c>
      <c r="K37" s="12">
        <f>IF($B$32="",0,MIN(I37,MAX(0,$B$32-J37)))</f>
        <v/>
      </c>
      <c r="L37" s="21">
        <f>H37*K37</f>
        <v/>
      </c>
    </row>
    <row r="38">
      <c r="A38" s="16" t="inlineStr">
        <is>
          <t>Edge vs the mid per share</t>
        </is>
      </c>
      <c r="B38" s="23">
        <f>IF(OR(B8="",B8=0,B33=""),"",SIGN(B7)*(B33-B8))</f>
        <v/>
      </c>
      <c r="G38" s="11" t="n">
        <v>13</v>
      </c>
      <c r="H38" s="20">
        <f>IF($B$7="",0,IF($B$7&gt;0,CHOOSE($B$6,J14,R14,Z14),CHOOSE($B$6,K14,S14,AA14)))</f>
        <v/>
      </c>
      <c r="I38" s="12">
        <f>IF($B$7="",0,IF($B$7&gt;0,CHOOSE($B$6,I14,Q14,Y14),CHOOSE($B$6,L14,T14,AB14))*$B$26)</f>
        <v/>
      </c>
      <c r="J38" s="12">
        <f>J37+I37</f>
        <v/>
      </c>
      <c r="K38" s="12">
        <f>IF($B$32="",0,MIN(I38,MAX(0,$B$32-J38)))</f>
        <v/>
      </c>
      <c r="L38" s="21">
        <f>H38*K38</f>
        <v/>
      </c>
    </row>
    <row r="39">
      <c r="A39" s="16" t="inlineStr">
        <is>
          <t>Profit/share if held to the bell</t>
        </is>
      </c>
      <c r="B39" s="23">
        <f>IF(B38="","",B38-B28)</f>
        <v/>
      </c>
      <c r="G39" s="11" t="n">
        <v>14</v>
      </c>
      <c r="H39" s="20">
        <f>IF($B$7="",0,IF($B$7&gt;0,CHOOSE($B$6,J15,R15,Z15),CHOOSE($B$6,K15,S15,AA15)))</f>
        <v/>
      </c>
      <c r="I39" s="12">
        <f>IF($B$7="",0,IF($B$7&gt;0,CHOOSE($B$6,I15,Q15,Y15),CHOOSE($B$6,L15,T15,AB15))*$B$26)</f>
        <v/>
      </c>
      <c r="J39" s="12">
        <f>J38+I38</f>
        <v/>
      </c>
      <c r="K39" s="12">
        <f>IF($B$32="",0,MIN(I39,MAX(0,$B$32-J39)))</f>
        <v/>
      </c>
      <c r="L39" s="21">
        <f>H39*K39</f>
        <v/>
      </c>
    </row>
    <row r="40">
      <c r="A40" s="16" t="inlineStr">
        <is>
          <t>Decision (walk the book vs min profit)</t>
        </is>
      </c>
      <c r="B40" s="8">
        <f>IF(B7="","",IF(OR(B8="",B8=0),"AUCTION: bid "&amp;TEXT(B41,"0.00"),IF(B36&gt;=B27,"ACCEPT","DECLINE")))</f>
        <v/>
      </c>
      <c r="G40" s="11" t="n">
        <v>15</v>
      </c>
      <c r="H40" s="20">
        <f>IF($B$7="",0,IF($B$7&gt;0,CHOOSE($B$6,J16,R16,Z16),CHOOSE($B$6,K16,S16,AA16)))</f>
        <v/>
      </c>
      <c r="I40" s="12">
        <f>IF($B$7="",0,IF($B$7&gt;0,CHOOSE($B$6,I16,Q16,Y16),CHOOSE($B$6,L16,T16,AB16))*$B$26)</f>
        <v/>
      </c>
      <c r="J40" s="12">
        <f>J39+I39</f>
        <v/>
      </c>
      <c r="K40" s="12">
        <f>IF($B$32="",0,MIN(I40,MAX(0,$B$32-J40)))</f>
        <v/>
      </c>
      <c r="L40" s="21">
        <f>H40*K40</f>
        <v/>
      </c>
    </row>
    <row r="41">
      <c r="A41" s="16" t="inlineStr">
        <is>
          <t>Auction: most aggressive bid that keeps the margin</t>
        </is>
      </c>
      <c r="B41" s="20">
        <f>IF(B34="","",ROUND(B34-SIGN(B7)*(B25+B29),2))</f>
        <v/>
      </c>
      <c r="G41" s="11" t="n">
        <v>16</v>
      </c>
      <c r="H41" s="20">
        <f>IF($B$7="",0,IF($B$7&gt;0,CHOOSE($B$6,J17,R17,Z17),CHOOSE($B$6,K17,S17,AA17)))</f>
        <v/>
      </c>
      <c r="I41" s="12">
        <f>IF($B$7="",0,IF($B$7&gt;0,CHOOSE($B$6,I17,Q17,Y17),CHOOSE($B$6,L17,T17,AB17))*$B$26)</f>
        <v/>
      </c>
      <c r="J41" s="12">
        <f>J40+I40</f>
        <v/>
      </c>
      <c r="K41" s="12">
        <f>IF($B$32="",0,MIN(I41,MAX(0,$B$32-J41)))</f>
        <v/>
      </c>
      <c r="L41" s="21">
        <f>H41*K41</f>
        <v/>
      </c>
    </row>
    <row r="42">
      <c r="A42" s="25" t="inlineStr">
        <is>
          <t>Limits: brief 250,000 gross / 100,000 net shares (enforced)</t>
        </is>
      </c>
      <c r="G42" s="11" t="n">
        <v>17</v>
      </c>
      <c r="H42" s="20">
        <f>IF($B$7="",0,IF($B$7&gt;0,CHOOSE($B$6,J18,R18,Z18),CHOOSE($B$6,K18,S18,AA18)))</f>
        <v/>
      </c>
      <c r="I42" s="12">
        <f>IF($B$7="",0,IF($B$7&gt;0,CHOOSE($B$6,I18,Q18,Y18),CHOOSE($B$6,L18,T18,AB18))*$B$26)</f>
        <v/>
      </c>
      <c r="J42" s="12">
        <f>J41+I41</f>
        <v/>
      </c>
      <c r="K42" s="12">
        <f>IF($B$32="",0,MIN(I42,MAX(0,$B$32-J42)))</f>
        <v/>
      </c>
      <c r="L42" s="21">
        <f>H42*K42</f>
        <v/>
      </c>
    </row>
    <row r="43">
      <c r="G43" s="11" t="n">
        <v>18</v>
      </c>
      <c r="H43" s="20">
        <f>IF($B$7="",0,IF($B$7&gt;0,CHOOSE($B$6,J19,R19,Z19),CHOOSE($B$6,K19,S19,AA19)))</f>
        <v/>
      </c>
      <c r="I43" s="12">
        <f>IF($B$7="",0,IF($B$7&gt;0,CHOOSE($B$6,I19,Q19,Y19),CHOOSE($B$6,L19,T19,AB19))*$B$26)</f>
        <v/>
      </c>
      <c r="J43" s="12">
        <f>J42+I42</f>
        <v/>
      </c>
      <c r="K43" s="12">
        <f>IF($B$32="",0,MIN(I43,MAX(0,$B$32-J43)))</f>
        <v/>
      </c>
      <c r="L43" s="21">
        <f>H43*K43</f>
        <v/>
      </c>
    </row>
    <row r="44">
      <c r="G44" s="11" t="n">
        <v>19</v>
      </c>
      <c r="H44" s="20">
        <f>IF($B$7="",0,IF($B$7&gt;0,CHOOSE($B$6,J20,R20,Z20),CHOOSE($B$6,K20,S20,AA20)))</f>
        <v/>
      </c>
      <c r="I44" s="12">
        <f>IF($B$7="",0,IF($B$7&gt;0,CHOOSE($B$6,I20,Q20,Y20),CHOOSE($B$6,L20,T20,AB20))*$B$26)</f>
        <v/>
      </c>
      <c r="J44" s="12">
        <f>J43+I43</f>
        <v/>
      </c>
      <c r="K44" s="12">
        <f>IF($B$32="",0,MIN(I44,MAX(0,$B$32-J44)))</f>
        <v/>
      </c>
      <c r="L44" s="21">
        <f>H44*K44</f>
        <v/>
      </c>
    </row>
    <row r="45">
      <c r="G45" s="11" t="n">
        <v>20</v>
      </c>
      <c r="H45" s="20">
        <f>IF($B$7="",0,IF($B$7&gt;0,CHOOSE($B$6,J21,R21,Z21),CHOOSE($B$6,K21,S21,AA21)))</f>
        <v/>
      </c>
      <c r="I45" s="12">
        <f>IF($B$7="",0,IF($B$7&gt;0,CHOOSE($B$6,I21,Q21,Y21),CHOOSE($B$6,L21,T21,AB21))*$B$26)</f>
        <v/>
      </c>
      <c r="J45" s="12">
        <f>J44+I44</f>
        <v/>
      </c>
      <c r="K45" s="12">
        <f>IF($B$32="",0,MIN(I45,MAX(0,$B$32-J45)))</f>
        <v/>
      </c>
      <c r="L45" s="21">
        <f>H45*K45</f>
        <v/>
      </c>
    </row>
    <row r="46">
      <c r="G46" s="8" t="inlineStr">
        <is>
          <t>Total</t>
        </is>
      </c>
      <c r="K46" s="27">
        <f>SUM(K26:K45)</f>
        <v/>
      </c>
      <c r="L46" s="28">
        <f>SUM(L26:L45)</f>
        <v/>
      </c>
    </row>
    <row r="47">
      <c r="G47" s="25" t="inlineStr">
        <is>
          <t>Shares past the last level are priced at the worst level -5c (as the bot does).</t>
        </is>
      </c>
    </row>
    <row r="54">
      <c r="A54" s="15" t="inlineStr">
        <is>
          <t>Other open tenders (RTD TENDERINFO 2 and 3)</t>
        </is>
      </c>
    </row>
    <row r="55">
      <c r="A55" s="1" t="inlineStr">
        <is>
          <t>No.</t>
        </is>
      </c>
      <c r="B55" s="1" t="inlineStr">
        <is>
          <t>Full text</t>
        </is>
      </c>
      <c r="C55" s="1" t="inlineStr">
        <is>
          <t>ID</t>
        </is>
      </c>
      <c r="D55" s="1" t="inlineStr">
        <is>
          <t>Security</t>
        </is>
      </c>
      <c r="E55" s="1" t="inlineStr">
        <is>
          <t>Volume</t>
        </is>
      </c>
      <c r="F55" s="1" t="inlineStr">
        <is>
          <t>Price</t>
        </is>
      </c>
      <c r="G55" s="1" t="inlineStr">
        <is>
          <t>Received</t>
        </is>
      </c>
      <c r="H55" s="1" t="inlineStr">
        <is>
          <t>Expires</t>
        </is>
      </c>
    </row>
    <row r="56">
      <c r="A56" s="11" t="n">
        <v>2</v>
      </c>
      <c r="B56" s="16">
        <f>IFERROR(RTD("rit2.rtd",,"TENDERINFO",2),"")</f>
        <v/>
      </c>
      <c r="C56" s="16">
        <f>IFERROR(TRIM(MID(SUBSTITUTE($B56,",",REPT(" ",99)),0*99+1,99)),"")</f>
        <v/>
      </c>
      <c r="D56" s="16">
        <f>IFERROR(TRIM(MID(SUBSTITUTE($B56,",",REPT(" ",99)),1*99+1,99)),"")</f>
        <v/>
      </c>
      <c r="E56" s="16">
        <f>IFERROR(TRIM(MID(SUBSTITUTE($B56,",",REPT(" ",99)),2*99+1,99)),"")</f>
        <v/>
      </c>
      <c r="F56" s="16">
        <f>IFERROR(TRIM(MID(SUBSTITUTE($B56,",",REPT(" ",99)),3*99+1,99)),"")</f>
        <v/>
      </c>
      <c r="G56" s="16">
        <f>IFERROR(TRIM(MID(SUBSTITUTE($B56,",",REPT(" ",99)),4*99+1,99)),"")</f>
        <v/>
      </c>
      <c r="H56" s="16">
        <f>IFERROR(TRIM(MID(SUBSTITUTE($B56,",",REPT(" ",99)),5*99+1,99)),"")</f>
        <v/>
      </c>
    </row>
    <row r="57">
      <c r="A57" s="11" t="n">
        <v>3</v>
      </c>
      <c r="B57" s="16">
        <f>IFERROR(RTD("rit2.rtd",,"TENDERINFO",3),"")</f>
        <v/>
      </c>
      <c r="C57" s="16">
        <f>IFERROR(TRIM(MID(SUBSTITUTE($B57,",",REPT(" ",99)),0*99+1,99)),"")</f>
        <v/>
      </c>
      <c r="D57" s="16">
        <f>IFERROR(TRIM(MID(SUBSTITUTE($B57,",",REPT(" ",99)),1*99+1,99)),"")</f>
        <v/>
      </c>
      <c r="E57" s="16">
        <f>IFERROR(TRIM(MID(SUBSTITUTE($B57,",",REPT(" ",99)),2*99+1,99)),"")</f>
        <v/>
      </c>
      <c r="F57" s="16">
        <f>IFERROR(TRIM(MID(SUBSTITUTE($B57,",",REPT(" ",99)),3*99+1,99)),"")</f>
        <v/>
      </c>
      <c r="G57" s="16">
        <f>IFERROR(TRIM(MID(SUBSTITUTE($B57,",",REPT(" ",99)),4*99+1,99)),"")</f>
        <v/>
      </c>
      <c r="H57" s="16">
        <f>IFERROR(TRIM(MID(SUBSTITUTE($B57,",",REPT(" ",99)),5*99+1,99)),"")</f>
        <v/>
      </c>
    </row>
    <row r="59">
      <c r="A59" s="15" t="inlineStr">
        <is>
          <t>Positions and limits</t>
        </is>
      </c>
    </row>
    <row r="60">
      <c r="A60" s="1" t="inlineStr">
        <is>
          <t>Stock</t>
        </is>
      </c>
      <c r="B60" s="1" t="inlineStr">
        <is>
          <t>Position</t>
        </is>
      </c>
      <c r="C60" s="1" t="inlineStr">
        <is>
          <t>If this tender is accepted</t>
        </is>
      </c>
    </row>
    <row r="61">
      <c r="A61" s="2" t="inlineStr">
        <is>
          <t>CRZY</t>
        </is>
      </c>
      <c r="B61" s="12">
        <f>IFERROR(--RTD("rit2.rtd",,"CRZY","POSITION"),0)</f>
        <v/>
      </c>
      <c r="C61" s="12">
        <f>B61+IF($B$5=A61,$B$7,0)</f>
        <v/>
      </c>
    </row>
    <row r="62">
      <c r="A62" s="2" t="inlineStr">
        <is>
          <t>TAME</t>
        </is>
      </c>
      <c r="B62" s="12">
        <f>IFERROR(--RTD("rit2.rtd",,"TAME","POSITION"),0)</f>
        <v/>
      </c>
      <c r="C62" s="12">
        <f>B62+IF($B$5=A62,$B$7,0)</f>
        <v/>
      </c>
    </row>
    <row r="63">
      <c r="A63" s="2" t="inlineStr">
        <is>
          <t>CROC</t>
        </is>
      </c>
      <c r="B63" s="12">
        <f>IFERROR(--RTD("rit2.rtd",,"CROC","POSITION"),0)</f>
        <v/>
      </c>
      <c r="C63" s="12">
        <f>B63+IF($B$5=A63,$B$7,0)</f>
        <v/>
      </c>
    </row>
    <row r="64">
      <c r="A64" s="16" t="inlineStr">
        <is>
          <t>Gross (sum of |positions|)</t>
        </is>
      </c>
      <c r="B64" s="12">
        <f>ABS(B61)+ABS(B62)+ABS(B63)</f>
        <v/>
      </c>
      <c r="C64" s="12">
        <f>ABS(C61)+ABS(C62)+ABS(C63)</f>
        <v/>
      </c>
    </row>
    <row r="65">
      <c r="A65" s="16" t="inlineStr">
        <is>
          <t>Net (sum of positions)</t>
        </is>
      </c>
      <c r="B65" s="12">
        <f>B61+B62+B63</f>
        <v/>
      </c>
      <c r="C65" s="12">
        <f>C61+C62+C63</f>
        <v/>
      </c>
    </row>
    <row r="66">
      <c r="A66" s="16" t="inlineStr">
        <is>
          <t>Gross limit / net limit (brief)</t>
        </is>
      </c>
      <c r="B66" s="30" t="n">
        <v>250000</v>
      </c>
      <c r="C66" s="30" t="n">
        <v>100000</v>
      </c>
    </row>
    <row r="67">
      <c r="A67" s="16" t="inlineStr">
        <is>
          <t>Fits the limits if accepted?</t>
        </is>
      </c>
      <c r="B67" s="8">
        <f>IF(B7="","",IF(AND(C64&lt;=B66,ABS(C65)&lt;=C66),"yes","NO - the server will refuse it"))</f>
        <v/>
      </c>
    </row>
    <row r="68">
      <c r="A68" s="16" t="inlineStr">
        <is>
          <t>Trader P&amp;L (RTD)</t>
        </is>
      </c>
      <c r="B68" s="24">
        <f>IFERROR(RTD("rit2.rtd",,"PL"),"")</f>
        <v/>
      </c>
    </row>
    <row r="70">
      <c r="A70" s="15" t="inlineStr">
        <is>
          <t>Speculation fine for opening N new shares (brief)</t>
        </is>
      </c>
    </row>
    <row r="71">
      <c r="A71" s="16" t="inlineStr">
        <is>
          <t>Shares that open a new position</t>
        </is>
      </c>
      <c r="B71" s="30" t="n">
        <v>0</v>
      </c>
    </row>
    <row r="72">
      <c r="A72" s="16" t="inlineStr">
        <is>
          <t>Fine ($0.20 first 5,000, $0.40 beyond)</t>
        </is>
      </c>
      <c r="B72" s="24">
        <f>0.2*MIN(B71,5000)+0.4*MAX(0,B71-5000)</f>
        <v/>
      </c>
    </row>
  </sheetData>
  <mergeCells count="5">
    <mergeCell ref="A59:E59"/>
    <mergeCell ref="A54:E54"/>
    <mergeCell ref="A23:E23"/>
    <mergeCell ref="A70:E70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2026-10-11T02:55:47Z</dcterms:created>
  <dcterms:modified xsi:type="dcterms:W3CDTF">2026-10-11T02:55:47Z</dcterms:modified>
</cp:coreProperties>
</file>