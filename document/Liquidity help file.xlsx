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hula-my.sharepoint.com/personal/tanawit_s_chula_ac_th/Documents/Desktop/Student documents and competition/Rotman/2025/Selection/"/>
    </mc:Choice>
  </mc:AlternateContent>
  <xr:revisionPtr revIDLastSave="0" documentId="8_{6A5C4684-FA01-4184-8290-AC6ECEE75898}" xr6:coauthVersionLast="47" xr6:coauthVersionMax="47" xr10:uidLastSave="{00000000-0000-0000-0000-000000000000}"/>
  <bookViews>
    <workbookView xWindow="8800" yWindow="0" windowWidth="13760" windowHeight="14200" xr2:uid="{1BA62A92-351D-4B63-ACD3-FA4F4B825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1" l="1"/>
  <c r="S21" i="1"/>
  <c r="I21" i="1"/>
  <c r="AA20" i="1"/>
  <c r="Q20" i="1"/>
  <c r="K20" i="1"/>
  <c r="Y19" i="1"/>
  <c r="S19" i="1"/>
  <c r="I19" i="1"/>
  <c r="AA18" i="1"/>
  <c r="Q18" i="1"/>
  <c r="K18" i="1"/>
  <c r="Y17" i="1"/>
  <c r="S17" i="1"/>
  <c r="I17" i="1"/>
  <c r="AA16" i="1"/>
  <c r="Q16" i="1"/>
  <c r="K16" i="1"/>
  <c r="AA15" i="1"/>
  <c r="Q15" i="1"/>
  <c r="K15" i="1"/>
  <c r="AA14" i="1"/>
  <c r="Q14" i="1"/>
  <c r="K14" i="1"/>
  <c r="AA13" i="1"/>
  <c r="Q13" i="1"/>
  <c r="K13" i="1"/>
  <c r="AA12" i="1"/>
  <c r="Q12" i="1"/>
  <c r="K12" i="1"/>
  <c r="AA11" i="1"/>
  <c r="Q11" i="1"/>
  <c r="K11" i="1"/>
  <c r="AA10" i="1"/>
  <c r="Q10" i="1"/>
  <c r="K10" i="1"/>
  <c r="Z9" i="1"/>
  <c r="T9" i="1"/>
  <c r="J9" i="1"/>
  <c r="Z8" i="1"/>
  <c r="T8" i="1"/>
  <c r="J8" i="1"/>
  <c r="Z7" i="1"/>
  <c r="T7" i="1"/>
  <c r="J7" i="1"/>
  <c r="AA6" i="1"/>
  <c r="Q6" i="1"/>
  <c r="K6" i="1"/>
  <c r="AA5" i="1"/>
  <c r="Q5" i="1"/>
  <c r="K5" i="1"/>
  <c r="AA4" i="1"/>
  <c r="AB21" i="1"/>
  <c r="R21" i="1"/>
  <c r="L21" i="1"/>
  <c r="Z20" i="1"/>
  <c r="T20" i="1"/>
  <c r="J20" i="1"/>
  <c r="AB19" i="1"/>
  <c r="R19" i="1"/>
  <c r="L19" i="1"/>
  <c r="Z18" i="1"/>
  <c r="T18" i="1"/>
  <c r="J18" i="1"/>
  <c r="AB17" i="1"/>
  <c r="R17" i="1"/>
  <c r="L17" i="1"/>
  <c r="Z16" i="1"/>
  <c r="T16" i="1"/>
  <c r="J16" i="1"/>
  <c r="Z15" i="1"/>
  <c r="T15" i="1"/>
  <c r="J15" i="1"/>
  <c r="Z14" i="1"/>
  <c r="T14" i="1"/>
  <c r="J14" i="1"/>
  <c r="Z13" i="1"/>
  <c r="T13" i="1"/>
  <c r="J13" i="1"/>
  <c r="Z12" i="1"/>
  <c r="T12" i="1"/>
  <c r="J12" i="1"/>
  <c r="Z11" i="1"/>
  <c r="T11" i="1"/>
  <c r="J11" i="1"/>
  <c r="Z10" i="1"/>
  <c r="T10" i="1"/>
  <c r="J10" i="1"/>
  <c r="Y9" i="1"/>
  <c r="S9" i="1"/>
  <c r="I9" i="1"/>
  <c r="Y8" i="1"/>
  <c r="S8" i="1"/>
  <c r="I8" i="1"/>
  <c r="Y7" i="1"/>
  <c r="S7" i="1"/>
  <c r="I7" i="1"/>
  <c r="Z6" i="1"/>
  <c r="T6" i="1"/>
  <c r="J6" i="1"/>
  <c r="Z5" i="1"/>
  <c r="T5" i="1"/>
  <c r="J5" i="1"/>
  <c r="Z4" i="1"/>
  <c r="T4" i="1"/>
  <c r="J4" i="1"/>
  <c r="Z3" i="1"/>
  <c r="T3" i="1"/>
  <c r="J3" i="1"/>
  <c r="AB2" i="1"/>
  <c r="R2" i="1"/>
  <c r="L2" i="1"/>
  <c r="R9" i="1"/>
  <c r="R8" i="1"/>
  <c r="AB7" i="1"/>
  <c r="R7" i="1"/>
  <c r="AA21" i="1"/>
  <c r="Q21" i="1"/>
  <c r="K21" i="1"/>
  <c r="Y20" i="1"/>
  <c r="S20" i="1"/>
  <c r="I20" i="1"/>
  <c r="AA19" i="1"/>
  <c r="Q19" i="1"/>
  <c r="K19" i="1"/>
  <c r="Y18" i="1"/>
  <c r="S18" i="1"/>
  <c r="I18" i="1"/>
  <c r="AA17" i="1"/>
  <c r="Q17" i="1"/>
  <c r="K17" i="1"/>
  <c r="Y16" i="1"/>
  <c r="S16" i="1"/>
  <c r="I16" i="1"/>
  <c r="Y15" i="1"/>
  <c r="S15" i="1"/>
  <c r="I15" i="1"/>
  <c r="Y14" i="1"/>
  <c r="S14" i="1"/>
  <c r="I14" i="1"/>
  <c r="Y13" i="1"/>
  <c r="S13" i="1"/>
  <c r="I13" i="1"/>
  <c r="Y12" i="1"/>
  <c r="S12" i="1"/>
  <c r="I12" i="1"/>
  <c r="Y11" i="1"/>
  <c r="S11" i="1"/>
  <c r="I11" i="1"/>
  <c r="Y10" i="1"/>
  <c r="S10" i="1"/>
  <c r="I10" i="1"/>
  <c r="AB9" i="1"/>
  <c r="L9" i="1"/>
  <c r="AB8" i="1"/>
  <c r="L8" i="1"/>
  <c r="L7" i="1"/>
  <c r="Y6" i="1"/>
  <c r="Z21" i="1"/>
  <c r="AB20" i="1"/>
  <c r="J19" i="1"/>
  <c r="L18" i="1"/>
  <c r="R16" i="1"/>
  <c r="AB14" i="1"/>
  <c r="L13" i="1"/>
  <c r="R12" i="1"/>
  <c r="AB10" i="1"/>
  <c r="K9" i="1"/>
  <c r="Q8" i="1"/>
  <c r="AB6" i="1"/>
  <c r="S5" i="1"/>
  <c r="I5" i="1"/>
  <c r="Y4" i="1"/>
  <c r="R4" i="1"/>
  <c r="K4" i="1"/>
  <c r="Q3" i="1"/>
  <c r="I3" i="1"/>
  <c r="Z2" i="1"/>
  <c r="S2" i="1"/>
  <c r="K2" i="1"/>
  <c r="T21" i="1"/>
  <c r="Z19" i="1"/>
  <c r="AB18" i="1"/>
  <c r="J17" i="1"/>
  <c r="L16" i="1"/>
  <c r="R15" i="1"/>
  <c r="AB13" i="1"/>
  <c r="L12" i="1"/>
  <c r="R11" i="1"/>
  <c r="AA9" i="1"/>
  <c r="K8" i="1"/>
  <c r="Q7" i="1"/>
  <c r="L6" i="1"/>
  <c r="AB5" i="1"/>
  <c r="R5" i="1"/>
  <c r="Q4" i="1"/>
  <c r="I4" i="1"/>
  <c r="AB3" i="1"/>
  <c r="Y2" i="1"/>
  <c r="Q2" i="1"/>
  <c r="J2" i="1"/>
  <c r="R20" i="1"/>
  <c r="T19" i="1"/>
  <c r="Z17" i="1"/>
  <c r="AB16" i="1"/>
  <c r="L15" i="1"/>
  <c r="R14" i="1"/>
  <c r="AB12" i="1"/>
  <c r="L11" i="1"/>
  <c r="R10" i="1"/>
  <c r="AA8" i="1"/>
  <c r="K7" i="1"/>
  <c r="I6" i="1"/>
  <c r="Y5" i="1"/>
  <c r="S3" i="1"/>
  <c r="J21" i="1"/>
  <c r="T17" i="1"/>
  <c r="AB15" i="1"/>
  <c r="L14" i="1"/>
  <c r="Q9" i="1"/>
  <c r="AA7" i="1"/>
  <c r="R6" i="1"/>
  <c r="AB4" i="1"/>
  <c r="L4" i="1"/>
  <c r="Y3" i="1"/>
  <c r="S6" i="1"/>
  <c r="AA3" i="1"/>
  <c r="L3" i="1"/>
  <c r="I2" i="1"/>
  <c r="L20" i="1"/>
  <c r="R18" i="1"/>
  <c r="R13" i="1"/>
  <c r="AB11" i="1"/>
  <c r="L10" i="1"/>
  <c r="L5" i="1"/>
  <c r="S4" i="1"/>
  <c r="E4" i="1"/>
  <c r="R3" i="1"/>
  <c r="K3" i="1"/>
  <c r="B1" i="1"/>
  <c r="AA2" i="1"/>
  <c r="T2" i="1"/>
  <c r="U20" i="1" l="1"/>
  <c r="U18" i="1"/>
  <c r="U16" i="1"/>
  <c r="U15" i="1"/>
  <c r="U14" i="1"/>
  <c r="U13" i="1"/>
  <c r="U12" i="1"/>
  <c r="U11" i="1"/>
  <c r="U10" i="1"/>
  <c r="U6" i="1"/>
  <c r="U5" i="1"/>
  <c r="U21" i="1"/>
  <c r="U19" i="1"/>
  <c r="U17" i="1"/>
  <c r="U7" i="1"/>
  <c r="U3" i="1"/>
  <c r="U9" i="1"/>
  <c r="U4" i="1"/>
  <c r="U2" i="1"/>
  <c r="U8" i="1"/>
  <c r="B4" i="1"/>
  <c r="E5" i="1" s="1"/>
  <c r="H21" i="1"/>
  <c r="H19" i="1"/>
  <c r="H17" i="1"/>
  <c r="H2" i="1"/>
  <c r="H9" i="1"/>
  <c r="H8" i="1"/>
  <c r="H7" i="1"/>
  <c r="H20" i="1"/>
  <c r="H14" i="1"/>
  <c r="H10" i="1"/>
  <c r="H18" i="1"/>
  <c r="H13" i="1"/>
  <c r="H5" i="1"/>
  <c r="H3" i="1"/>
  <c r="H16" i="1"/>
  <c r="H12" i="1"/>
  <c r="H4" i="1"/>
  <c r="H11" i="1"/>
  <c r="H15" i="1"/>
  <c r="H6" i="1"/>
  <c r="P9" i="1"/>
  <c r="P8" i="1"/>
  <c r="P7" i="1"/>
  <c r="P20" i="1"/>
  <c r="P18" i="1"/>
  <c r="P16" i="1"/>
  <c r="P15" i="1"/>
  <c r="P14" i="1"/>
  <c r="P13" i="1"/>
  <c r="P12" i="1"/>
  <c r="P11" i="1"/>
  <c r="P10" i="1"/>
  <c r="P6" i="1"/>
  <c r="P5" i="1"/>
  <c r="P4" i="1"/>
  <c r="P3" i="1"/>
  <c r="P17" i="1"/>
  <c r="P21" i="1"/>
  <c r="P2" i="1"/>
  <c r="P19" i="1"/>
  <c r="X21" i="1"/>
  <c r="X19" i="1"/>
  <c r="X17" i="1"/>
  <c r="X2" i="1"/>
  <c r="X8" i="1"/>
  <c r="X9" i="1"/>
  <c r="X7" i="1"/>
  <c r="X15" i="1"/>
  <c r="X11" i="1"/>
  <c r="X3" i="1"/>
  <c r="X20" i="1"/>
  <c r="X14" i="1"/>
  <c r="X10" i="1"/>
  <c r="X6" i="1"/>
  <c r="X4" i="1"/>
  <c r="X18" i="1"/>
  <c r="X13" i="1"/>
  <c r="X12" i="1"/>
  <c r="X5" i="1"/>
  <c r="X16" i="1"/>
  <c r="M21" i="1"/>
  <c r="M19" i="1"/>
  <c r="M17" i="1"/>
  <c r="M9" i="1"/>
  <c r="M8" i="1"/>
  <c r="M7" i="1"/>
  <c r="M20" i="1"/>
  <c r="M18" i="1"/>
  <c r="M16" i="1"/>
  <c r="M15" i="1"/>
  <c r="M14" i="1"/>
  <c r="M13" i="1"/>
  <c r="M12" i="1"/>
  <c r="M11" i="1"/>
  <c r="M10" i="1"/>
  <c r="M6" i="1"/>
  <c r="M3" i="1"/>
  <c r="M5" i="1"/>
  <c r="M4" i="1"/>
  <c r="M2" i="1"/>
  <c r="AC21" i="1"/>
  <c r="AC19" i="1"/>
  <c r="AC17" i="1"/>
  <c r="AC9" i="1"/>
  <c r="AC8" i="1"/>
  <c r="AC7" i="1"/>
  <c r="AC6" i="1"/>
  <c r="AC20" i="1"/>
  <c r="AC18" i="1"/>
  <c r="AC16" i="1"/>
  <c r="AC15" i="1"/>
  <c r="AC14" i="1"/>
  <c r="AC13" i="1"/>
  <c r="AC12" i="1"/>
  <c r="AC11" i="1"/>
  <c r="AC10" i="1"/>
  <c r="AC5" i="1"/>
  <c r="AC3" i="1"/>
  <c r="AC4" i="1"/>
  <c r="AC2" i="1"/>
  <c r="B5" i="1" l="1"/>
  <c r="B6" i="1" l="1"/>
  <c r="E6" i="1"/>
  <c r="B7" i="1" l="1"/>
  <c r="C7" i="1" s="1"/>
  <c r="E7" i="1" l="1"/>
  <c r="B8" i="1" s="1"/>
  <c r="E8" i="1" s="1"/>
  <c r="B9" i="1" l="1"/>
  <c r="E9" i="1" s="1"/>
  <c r="B10" i="1" s="1"/>
</calcChain>
</file>

<file path=xl/sharedStrings.xml><?xml version="1.0" encoding="utf-8"?>
<sst xmlns="http://schemas.openxmlformats.org/spreadsheetml/2006/main" count="20" uniqueCount="19">
  <si>
    <t>Tender ID</t>
  </si>
  <si>
    <t>Full text</t>
  </si>
  <si>
    <t>Security</t>
  </si>
  <si>
    <t>remain 1</t>
  </si>
  <si>
    <t>Volume</t>
  </si>
  <si>
    <t>remain 2</t>
  </si>
  <si>
    <t>Price</t>
  </si>
  <si>
    <t>remain 3</t>
  </si>
  <si>
    <t>Tick received</t>
  </si>
  <si>
    <t>remain 4</t>
  </si>
  <si>
    <t>Tick expired</t>
  </si>
  <si>
    <t>remain 5</t>
  </si>
  <si>
    <t>Sec Number</t>
  </si>
  <si>
    <t>CRZY</t>
  </si>
  <si>
    <t>TAME</t>
  </si>
  <si>
    <t>CROC</t>
  </si>
  <si>
    <t>Current tick</t>
  </si>
  <si>
    <t>Total tick</t>
  </si>
  <si>
    <t>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</si>
</sst>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4" xfId="0" applyFill="1" applyBorder="1"/>
    <xf numFmtId="0" fontId="0" fillId="0" borderId="0" xfId="0" applyAlignment="1">
      <alignment horizontal="right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2" borderId="9" xfId="0" applyFill="1" applyBorder="1"/>
    <xf numFmtId="0" fontId="0" fillId="0" borderId="11" xfId="0" applyBorder="1"/>
    <xf numFmtId="2" fontId="0" fillId="0" borderId="10" xfId="0" applyNumberFormat="1" applyBorder="1"/>
    <xf numFmtId="0" fontId="0" fillId="0" borderId="4" xfId="0" applyBorder="1"/>
    <xf numFmtId="2" fontId="0" fillId="0" borderId="5" xfId="0" applyNumberFormat="1" applyBorder="1"/>
    <xf numFmtId="2" fontId="0" fillId="0" borderId="8" xfId="0" applyNumberFormat="1" applyBorder="1"/>
    <xf numFmtId="2" fontId="0" fillId="0" borderId="9" xfId="0" applyNumberFormat="1" applyBorder="1"/>
    <xf numFmtId="1" fontId="0" fillId="0" borderId="10" xfId="0" applyNumberFormat="1" applyBorder="1"/>
    <xf numFmtId="2" fontId="0" fillId="0" borderId="4" xfId="0" applyNumberFormat="1" applyBorder="1"/>
    <xf numFmtId="1" fontId="0" fillId="0" borderId="5" xfId="0" applyNumberFormat="1" applyBorder="1"/>
    <xf numFmtId="2" fontId="0" fillId="0" borderId="6" xfId="0" applyNumberFormat="1" applyBorder="1"/>
    <xf numFmtId="1" fontId="0" fillId="0" borderId="8" xfId="0" applyNumberFormat="1" applyBorder="1"/>
    <xf numFmtId="2" fontId="0" fillId="0" borderId="0" xfId="0" applyNumberFormat="1"/>
    <xf numFmtId="2" fontId="0" fillId="0" borderId="11" xfId="0" applyNumberFormat="1" applyBorder="1"/>
    <xf numFmtId="2" fontId="0" fillId="0" borderId="7" xfId="0" applyNumberFormat="1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it2.rtd">
      <tp t="s">
        <v>TAME|AGBSZ|8</v>
        <stp/>
        <stp>TAME</stp>
        <stp>AGBSZ</stp>
        <stp>8</stp>
        <tr r="Q9" s="1"/>
      </tp>
      <tp t="s">
        <v>TAME|AGBSZ|9</v>
        <stp/>
        <stp>TAME</stp>
        <stp>AGBSZ</stp>
        <stp>9</stp>
        <tr r="Q10" s="1"/>
      </tp>
      <tp t="s">
        <v>TAME|AGASZ|9</v>
        <stp/>
        <stp>TAME</stp>
        <stp>AGASZ</stp>
        <stp>9</stp>
        <tr r="T10" s="1"/>
      </tp>
      <tp t="s">
        <v>TAME|AGASZ|8</v>
        <stp/>
        <stp>TAME</stp>
        <stp>AGASZ</stp>
        <stp>8</stp>
        <tr r="T9" s="1"/>
      </tp>
      <tp t="s">
        <v>TAME|AGASZ|3</v>
        <stp/>
        <stp>TAME</stp>
        <stp>AGASZ</stp>
        <stp>3</stp>
        <tr r="T4" s="1"/>
      </tp>
      <tp t="s">
        <v>TAME|AGASZ|2</v>
        <stp/>
        <stp>TAME</stp>
        <stp>AGASZ</stp>
        <stp>2</stp>
        <tr r="T3" s="1"/>
      </tp>
      <tp t="s">
        <v>TAME|AGBSZ|1</v>
        <stp/>
        <stp>TAME</stp>
        <stp>AGBSZ</stp>
        <stp>1</stp>
        <tr r="Q2" s="1"/>
      </tp>
      <tp t="s">
        <v>TAME|AGASZ|1</v>
        <stp/>
        <stp>TAME</stp>
        <stp>AGASZ</stp>
        <stp>1</stp>
        <tr r="T2" s="1"/>
      </tp>
      <tp t="s">
        <v>TAME|AGBSZ|2</v>
        <stp/>
        <stp>TAME</stp>
        <stp>AGBSZ</stp>
        <stp>2</stp>
        <tr r="Q3" s="1"/>
      </tp>
      <tp t="s">
        <v>TAME|AGBSZ|3</v>
        <stp/>
        <stp>TAME</stp>
        <stp>AGBSZ</stp>
        <stp>3</stp>
        <tr r="Q4" s="1"/>
      </tp>
      <tp t="s">
        <v>TAME|AGASZ|7</v>
        <stp/>
        <stp>TAME</stp>
        <stp>AGASZ</stp>
        <stp>7</stp>
        <tr r="T8" s="1"/>
      </tp>
      <tp t="s">
        <v>TAME|AGBSZ|4</v>
        <stp/>
        <stp>TAME</stp>
        <stp>AGBSZ</stp>
        <stp>4</stp>
        <tr r="Q5" s="1"/>
      </tp>
      <tp t="s">
        <v>TAME|AGASZ|6</v>
        <stp/>
        <stp>TAME</stp>
        <stp>AGASZ</stp>
        <stp>6</stp>
        <tr r="T7" s="1"/>
      </tp>
      <tp t="s">
        <v>TAME|AGBSZ|5</v>
        <stp/>
        <stp>TAME</stp>
        <stp>AGBSZ</stp>
        <stp>5</stp>
        <tr r="Q6" s="1"/>
      </tp>
      <tp t="s">
        <v>TAME|AGASZ|5</v>
        <stp/>
        <stp>TAME</stp>
        <stp>AGASZ</stp>
        <stp>5</stp>
        <tr r="T6" s="1"/>
      </tp>
      <tp t="s">
        <v>TAME|AGBSZ|6</v>
        <stp/>
        <stp>TAME</stp>
        <stp>AGBSZ</stp>
        <stp>6</stp>
        <tr r="Q7" s="1"/>
      </tp>
      <tp t="s">
        <v>TAME|AGASZ|4</v>
        <stp/>
        <stp>TAME</stp>
        <stp>AGASZ</stp>
        <stp>4</stp>
        <tr r="T5" s="1"/>
      </tp>
      <tp t="s">
        <v>TAME|AGBSZ|7</v>
        <stp/>
        <stp>TAME</stp>
        <stp>AGBSZ</stp>
        <stp>7</stp>
        <tr r="Q8" s="1"/>
      </tp>
      <tp t="s">
        <v>CRZY|AGASK|7</v>
        <stp/>
        <stp>CRZY</stp>
        <stp>AGASK</stp>
        <stp>7</stp>
        <tr r="K8" s="1"/>
      </tp>
      <tp t="s">
        <v>CRZY|AGASK|6</v>
        <stp/>
        <stp>CRZY</stp>
        <stp>AGASK</stp>
        <stp>6</stp>
        <tr r="K7" s="1"/>
      </tp>
      <tp t="s">
        <v>CRZY|AGASK|5</v>
        <stp/>
        <stp>CRZY</stp>
        <stp>AGASK</stp>
        <stp>5</stp>
        <tr r="K6" s="1"/>
      </tp>
      <tp t="s">
        <v>CRZY|AGASK|4</v>
        <stp/>
        <stp>CRZY</stp>
        <stp>AGASK</stp>
        <stp>4</stp>
        <tr r="K5" s="1"/>
      </tp>
      <tp t="s">
        <v>CRZY|AGASK|3</v>
        <stp/>
        <stp>CRZY</stp>
        <stp>AGASK</stp>
        <stp>3</stp>
        <tr r="K4" s="1"/>
      </tp>
      <tp t="s">
        <v>CRZY|AGASK|2</v>
        <stp/>
        <stp>CRZY</stp>
        <stp>AGASK</stp>
        <stp>2</stp>
        <tr r="K3" s="1"/>
      </tp>
      <tp t="s">
        <v>CRZY|AGASK|1</v>
        <stp/>
        <stp>CRZY</stp>
        <stp>AGASK</stp>
        <stp>1</stp>
        <tr r="K2" s="1"/>
      </tp>
      <tp t="s">
        <v>CRZY|AGASK|9</v>
        <stp/>
        <stp>CRZY</stp>
        <stp>AGASK</stp>
        <stp>9</stp>
        <tr r="K10" s="1"/>
      </tp>
      <tp t="s">
        <v>CRZY|AGASK|8</v>
        <stp/>
        <stp>CRZY</stp>
        <stp>AGASK</stp>
        <stp>8</stp>
        <tr r="K9" s="1"/>
      </tp>
      <tp t="s">
        <v>CROC|AGASK|9</v>
        <stp/>
        <stp>CROC</stp>
        <stp>AGASK</stp>
        <stp>9</stp>
        <tr r="AA10" s="1"/>
      </tp>
      <tp t="s">
        <v>CROC|AGASK|8</v>
        <stp/>
        <stp>CROC</stp>
        <stp>AGASK</stp>
        <stp>8</stp>
        <tr r="AA9" s="1"/>
      </tp>
      <tp t="s">
        <v>CROC|AGASK|5</v>
        <stp/>
        <stp>CROC</stp>
        <stp>AGASK</stp>
        <stp>5</stp>
        <tr r="AA6" s="1"/>
      </tp>
      <tp t="s">
        <v>CROC|AGASK|4</v>
        <stp/>
        <stp>CROC</stp>
        <stp>AGASK</stp>
        <stp>4</stp>
        <tr r="AA5" s="1"/>
      </tp>
      <tp t="s">
        <v>CROC|AGASK|7</v>
        <stp/>
        <stp>CROC</stp>
        <stp>AGASK</stp>
        <stp>7</stp>
        <tr r="AA8" s="1"/>
      </tp>
      <tp t="s">
        <v>CROC|AGASK|6</v>
        <stp/>
        <stp>CROC</stp>
        <stp>AGASK</stp>
        <stp>6</stp>
        <tr r="AA7" s="1"/>
      </tp>
      <tp t="s">
        <v>CROC|AGASK|1</v>
        <stp/>
        <stp>CROC</stp>
        <stp>AGASK</stp>
        <stp>1</stp>
        <tr r="AA2" s="1"/>
      </tp>
      <tp t="s">
        <v>CROC|AGASK|3</v>
        <stp/>
        <stp>CROC</stp>
        <stp>AGASK</stp>
        <stp>3</stp>
        <tr r="AA4" s="1"/>
      </tp>
      <tp t="s">
        <v>CROC|AGASK|2</v>
        <stp/>
        <stp>CROC</stp>
        <stp>AGASK</stp>
        <stp>2</stp>
        <tr r="AA3" s="1"/>
      </tp>
      <tp t="s">
        <v>TENDERINFO|1</v>
        <stp/>
        <stp>TENDERINFO</stp>
        <stp>1</stp>
        <tr r="E4" s="1"/>
      </tp>
      <tp t="s">
        <v>CRZY|AGBID|4</v>
        <stp/>
        <stp>CRZY</stp>
        <stp>AGBID</stp>
        <stp>4</stp>
        <tr r="J5" s="1"/>
      </tp>
      <tp t="s">
        <v>CRZY|AGBID|5</v>
        <stp/>
        <stp>CRZY</stp>
        <stp>AGBID</stp>
        <stp>5</stp>
        <tr r="J6" s="1"/>
      </tp>
      <tp t="s">
        <v>CRZY|AGBID|6</v>
        <stp/>
        <stp>CRZY</stp>
        <stp>AGBID</stp>
        <stp>6</stp>
        <tr r="J7" s="1"/>
      </tp>
      <tp t="s">
        <v>CRZY|AGBID|7</v>
        <stp/>
        <stp>CRZY</stp>
        <stp>AGBID</stp>
        <stp>7</stp>
        <tr r="J8" s="1"/>
      </tp>
      <tp t="s">
        <v>CRZY|AGBID|1</v>
        <stp/>
        <stp>CRZY</stp>
        <stp>AGBID</stp>
        <stp>1</stp>
        <tr r="J2" s="1"/>
      </tp>
      <tp t="s">
        <v>CRZY|AGBID|2</v>
        <stp/>
        <stp>CRZY</stp>
        <stp>AGBID</stp>
        <stp>2</stp>
        <tr r="J3" s="1"/>
      </tp>
      <tp t="s">
        <v>CRZY|AGBID|3</v>
        <stp/>
        <stp>CRZY</stp>
        <stp>AGBID</stp>
        <stp>3</stp>
        <tr r="J4" s="1"/>
      </tp>
      <tp t="s">
        <v>CRZY|AGBID|8</v>
        <stp/>
        <stp>CRZY</stp>
        <stp>AGBID</stp>
        <stp>8</stp>
        <tr r="J9" s="1"/>
      </tp>
      <tp t="s">
        <v>CRZY|AGBID|9</v>
        <stp/>
        <stp>CRZY</stp>
        <stp>AGBID</stp>
        <stp>9</stp>
        <tr r="J10" s="1"/>
      </tp>
      <tp t="s">
        <v>CROC|AGBID|8</v>
        <stp/>
        <stp>CROC</stp>
        <stp>AGBID</stp>
        <stp>8</stp>
        <tr r="Z9" s="1"/>
      </tp>
      <tp t="s">
        <v>CROC|AGBID|9</v>
        <stp/>
        <stp>CROC</stp>
        <stp>AGBID</stp>
        <stp>9</stp>
        <tr r="Z10" s="1"/>
      </tp>
      <tp t="s">
        <v>CROC|AGBID|6</v>
        <stp/>
        <stp>CROC</stp>
        <stp>AGBID</stp>
        <stp>6</stp>
        <tr r="Z7" s="1"/>
      </tp>
      <tp t="s">
        <v>CROC|AGBID|7</v>
        <stp/>
        <stp>CROC</stp>
        <stp>AGBID</stp>
        <stp>7</stp>
        <tr r="Z8" s="1"/>
      </tp>
      <tp t="s">
        <v>CROC|AGBID|4</v>
        <stp/>
        <stp>CROC</stp>
        <stp>AGBID</stp>
        <stp>4</stp>
        <tr r="Z5" s="1"/>
      </tp>
      <tp t="s">
        <v>CROC|AGBID|5</v>
        <stp/>
        <stp>CROC</stp>
        <stp>AGBID</stp>
        <stp>5</stp>
        <tr r="Z6" s="1"/>
      </tp>
      <tp t="s">
        <v>CROC|AGBID|2</v>
        <stp/>
        <stp>CROC</stp>
        <stp>AGBID</stp>
        <stp>2</stp>
        <tr r="Z3" s="1"/>
      </tp>
      <tp t="s">
        <v>CROC|AGBID|3</v>
        <stp/>
        <stp>CROC</stp>
        <stp>AGBID</stp>
        <stp>3</stp>
        <tr r="Z4" s="1"/>
      </tp>
      <tp t="s">
        <v>CROC|AGBID|1</v>
        <stp/>
        <stp>CROC</stp>
        <stp>AGBID</stp>
        <stp>1</stp>
        <tr r="Z2" s="1"/>
      </tp>
      <tp t="s">
        <v>TAME|AGASK|9</v>
        <stp/>
        <stp>TAME</stp>
        <stp>AGASK</stp>
        <stp>9</stp>
        <tr r="S10" s="1"/>
      </tp>
      <tp t="s">
        <v>TAME|AGASK|8</v>
        <stp/>
        <stp>TAME</stp>
        <stp>AGASK</stp>
        <stp>8</stp>
        <tr r="S9" s="1"/>
      </tp>
      <tp t="s">
        <v>TAME|AGASK|3</v>
        <stp/>
        <stp>TAME</stp>
        <stp>AGASK</stp>
        <stp>3</stp>
        <tr r="S4" s="1"/>
      </tp>
      <tp t="s">
        <v>TAME|AGASK|2</v>
        <stp/>
        <stp>TAME</stp>
        <stp>AGASK</stp>
        <stp>2</stp>
        <tr r="S3" s="1"/>
      </tp>
      <tp t="s">
        <v>TAME|AGASK|1</v>
        <stp/>
        <stp>TAME</stp>
        <stp>AGASK</stp>
        <stp>1</stp>
        <tr r="S2" s="1"/>
      </tp>
      <tp t="s">
        <v>TAME|AGASK|7</v>
        <stp/>
        <stp>TAME</stp>
        <stp>AGASK</stp>
        <stp>7</stp>
        <tr r="S8" s="1"/>
      </tp>
      <tp t="s">
        <v>TAME|AGASK|6</v>
        <stp/>
        <stp>TAME</stp>
        <stp>AGASK</stp>
        <stp>6</stp>
        <tr r="S7" s="1"/>
      </tp>
      <tp t="s">
        <v>TAME|AGASK|5</v>
        <stp/>
        <stp>TAME</stp>
        <stp>AGASK</stp>
        <stp>5</stp>
        <tr r="S6" s="1"/>
      </tp>
      <tp t="s">
        <v>TAME|AGASK|4</v>
        <stp/>
        <stp>TAME</stp>
        <stp>AGASK</stp>
        <stp>4</stp>
        <tr r="S5" s="1"/>
      </tp>
      <tp t="s">
        <v>TIMEREMAINING</v>
        <stp/>
        <stp>TIMEREMAINING</stp>
        <tr r="B1" s="1"/>
      </tp>
      <tp t="s">
        <v>CRZY|AGASZ|7</v>
        <stp/>
        <stp>CRZY</stp>
        <stp>AGASZ</stp>
        <stp>7</stp>
        <tr r="L8" s="1"/>
      </tp>
      <tp t="s">
        <v>CRZY|AGBSZ|4</v>
        <stp/>
        <stp>CRZY</stp>
        <stp>AGBSZ</stp>
        <stp>4</stp>
        <tr r="I5" s="1"/>
      </tp>
      <tp t="s">
        <v>CRZY|AGASZ|6</v>
        <stp/>
        <stp>CRZY</stp>
        <stp>AGASZ</stp>
        <stp>6</stp>
        <tr r="L7" s="1"/>
      </tp>
      <tp t="s">
        <v>CRZY|AGBSZ|5</v>
        <stp/>
        <stp>CRZY</stp>
        <stp>AGBSZ</stp>
        <stp>5</stp>
        <tr r="I6" s="1"/>
      </tp>
      <tp t="s">
        <v>CRZY|AGASZ|5</v>
        <stp/>
        <stp>CRZY</stp>
        <stp>AGASZ</stp>
        <stp>5</stp>
        <tr r="L6" s="1"/>
      </tp>
      <tp t="s">
        <v>CRZY|AGBSZ|6</v>
        <stp/>
        <stp>CRZY</stp>
        <stp>AGBSZ</stp>
        <stp>6</stp>
        <tr r="I7" s="1"/>
      </tp>
      <tp t="s">
        <v>CRZY|AGASZ|4</v>
        <stp/>
        <stp>CRZY</stp>
        <stp>AGASZ</stp>
        <stp>4</stp>
        <tr r="L5" s="1"/>
      </tp>
      <tp t="s">
        <v>CRZY|AGBSZ|7</v>
        <stp/>
        <stp>CRZY</stp>
        <stp>AGBSZ</stp>
        <stp>7</stp>
        <tr r="I8" s="1"/>
      </tp>
      <tp t="s">
        <v>CRZY|AGASZ|3</v>
        <stp/>
        <stp>CRZY</stp>
        <stp>AGASZ</stp>
        <stp>3</stp>
        <tr r="L4" s="1"/>
      </tp>
      <tp t="s">
        <v>CRZY|AGASZ|2</v>
        <stp/>
        <stp>CRZY</stp>
        <stp>AGASZ</stp>
        <stp>2</stp>
        <tr r="L3" s="1"/>
      </tp>
      <tp t="s">
        <v>CRZY|AGBSZ|1</v>
        <stp/>
        <stp>CRZY</stp>
        <stp>AGBSZ</stp>
        <stp>1</stp>
        <tr r="I2" s="1"/>
      </tp>
      <tp t="s">
        <v>CRZY|AGASZ|1</v>
        <stp/>
        <stp>CRZY</stp>
        <stp>AGASZ</stp>
        <stp>1</stp>
        <tr r="L2" s="1"/>
      </tp>
      <tp t="s">
        <v>CRZY|AGBSZ|2</v>
        <stp/>
        <stp>CRZY</stp>
        <stp>AGBSZ</stp>
        <stp>2</stp>
        <tr r="I3" s="1"/>
      </tp>
      <tp t="s">
        <v>CRZY|AGBSZ|3</v>
        <stp/>
        <stp>CRZY</stp>
        <stp>AGBSZ</stp>
        <stp>3</stp>
        <tr r="I4" s="1"/>
      </tp>
      <tp t="s">
        <v>CRZY|AGBSZ|8</v>
        <stp/>
        <stp>CRZY</stp>
        <stp>AGBSZ</stp>
        <stp>8</stp>
        <tr r="I9" s="1"/>
      </tp>
      <tp t="s">
        <v>CRZY|AGBSZ|9</v>
        <stp/>
        <stp>CRZY</stp>
        <stp>AGBSZ</stp>
        <stp>9</stp>
        <tr r="I10" s="1"/>
      </tp>
      <tp t="s">
        <v>CRZY|AGASZ|9</v>
        <stp/>
        <stp>CRZY</stp>
        <stp>AGASZ</stp>
        <stp>9</stp>
        <tr r="L10" s="1"/>
      </tp>
      <tp t="s">
        <v>CRZY|AGASZ|8</v>
        <stp/>
        <stp>CRZY</stp>
        <stp>AGASZ</stp>
        <stp>8</stp>
        <tr r="L9" s="1"/>
      </tp>
      <tp t="s">
        <v>CROC|AGASZ|9</v>
        <stp/>
        <stp>CROC</stp>
        <stp>AGASZ</stp>
        <stp>9</stp>
        <tr r="AB10" s="1"/>
      </tp>
      <tp t="s">
        <v>CROC|AGASZ|8</v>
        <stp/>
        <stp>CROC</stp>
        <stp>AGASZ</stp>
        <stp>8</stp>
        <tr r="AB9" s="1"/>
      </tp>
      <tp t="s">
        <v>CROC|AGBSZ|8</v>
        <stp/>
        <stp>CROC</stp>
        <stp>AGBSZ</stp>
        <stp>8</stp>
        <tr r="Y9" s="1"/>
      </tp>
      <tp t="s">
        <v>CROC|AGBSZ|9</v>
        <stp/>
        <stp>CROC</stp>
        <stp>AGBSZ</stp>
        <stp>9</stp>
        <tr r="Y10" s="1"/>
      </tp>
      <tp t="s">
        <v>CROC|AGASZ|5</v>
        <stp/>
        <stp>CROC</stp>
        <stp>AGASZ</stp>
        <stp>5</stp>
        <tr r="AB6" s="1"/>
      </tp>
      <tp t="s">
        <v>CROC|AGBSZ|6</v>
        <stp/>
        <stp>CROC</stp>
        <stp>AGBSZ</stp>
        <stp>6</stp>
        <tr r="Y7" s="1"/>
      </tp>
      <tp t="s">
        <v>CROC|AGASZ|4</v>
        <stp/>
        <stp>CROC</stp>
        <stp>AGASZ</stp>
        <stp>4</stp>
        <tr r="AB5" s="1"/>
      </tp>
      <tp t="s">
        <v>CROC|AGBSZ|7</v>
        <stp/>
        <stp>CROC</stp>
        <stp>AGBSZ</stp>
        <stp>7</stp>
        <tr r="Y8" s="1"/>
      </tp>
      <tp t="s">
        <v>CROC|AGASZ|7</v>
        <stp/>
        <stp>CROC</stp>
        <stp>AGASZ</stp>
        <stp>7</stp>
        <tr r="AB8" s="1"/>
      </tp>
      <tp t="s">
        <v>CROC|AGBSZ|4</v>
        <stp/>
        <stp>CROC</stp>
        <stp>AGBSZ</stp>
        <stp>4</stp>
        <tr r="Y5" s="1"/>
      </tp>
      <tp t="s">
        <v>CROC|AGASZ|6</v>
        <stp/>
        <stp>CROC</stp>
        <stp>AGASZ</stp>
        <stp>6</stp>
        <tr r="AB7" s="1"/>
      </tp>
      <tp t="s">
        <v>CROC|AGBSZ|5</v>
        <stp/>
        <stp>CROC</stp>
        <stp>AGBSZ</stp>
        <stp>5</stp>
        <tr r="Y6" s="1"/>
      </tp>
      <tp t="s">
        <v>CROC|AGASZ|1</v>
        <stp/>
        <stp>CROC</stp>
        <stp>AGASZ</stp>
        <stp>1</stp>
        <tr r="AB2" s="1"/>
      </tp>
      <tp t="s">
        <v>CROC|AGBSZ|2</v>
        <stp/>
        <stp>CROC</stp>
        <stp>AGBSZ</stp>
        <stp>2</stp>
        <tr r="Y3" s="1"/>
      </tp>
      <tp t="s">
        <v>CROC|AGBSZ|3</v>
        <stp/>
        <stp>CROC</stp>
        <stp>AGBSZ</stp>
        <stp>3</stp>
        <tr r="Y4" s="1"/>
      </tp>
      <tp t="s">
        <v>CROC|AGASZ|3</v>
        <stp/>
        <stp>CROC</stp>
        <stp>AGASZ</stp>
        <stp>3</stp>
        <tr r="AB4" s="1"/>
      </tp>
      <tp t="s">
        <v>CROC|AGASZ|2</v>
        <stp/>
        <stp>CROC</stp>
        <stp>AGASZ</stp>
        <stp>2</stp>
        <tr r="AB3" s="1"/>
      </tp>
      <tp t="s">
        <v>CROC|AGBSZ|1</v>
        <stp/>
        <stp>CROC</stp>
        <stp>AGBSZ</stp>
        <stp>1</stp>
        <tr r="Y2" s="1"/>
      </tp>
      <tp t="s">
        <v>TAME|AGBID|8</v>
        <stp/>
        <stp>TAME</stp>
        <stp>AGBID</stp>
        <stp>8</stp>
        <tr r="R9" s="1"/>
      </tp>
      <tp t="s">
        <v>TAME|AGBID|9</v>
        <stp/>
        <stp>TAME</stp>
        <stp>AGBID</stp>
        <stp>9</stp>
        <tr r="R10" s="1"/>
      </tp>
      <tp t="s">
        <v>TAME|AGBID|1</v>
        <stp/>
        <stp>TAME</stp>
        <stp>AGBID</stp>
        <stp>1</stp>
        <tr r="R2" s="1"/>
      </tp>
      <tp t="s">
        <v>TAME|AGBID|2</v>
        <stp/>
        <stp>TAME</stp>
        <stp>AGBID</stp>
        <stp>2</stp>
        <tr r="R3" s="1"/>
      </tp>
      <tp t="s">
        <v>TAME|AGBID|3</v>
        <stp/>
        <stp>TAME</stp>
        <stp>AGBID</stp>
        <stp>3</stp>
        <tr r="R4" s="1"/>
      </tp>
      <tp t="s">
        <v>TAME|AGBID|4</v>
        <stp/>
        <stp>TAME</stp>
        <stp>AGBID</stp>
        <stp>4</stp>
        <tr r="R5" s="1"/>
      </tp>
      <tp t="s">
        <v>TAME|AGBID|5</v>
        <stp/>
        <stp>TAME</stp>
        <stp>AGBID</stp>
        <stp>5</stp>
        <tr r="R6" s="1"/>
      </tp>
      <tp t="s">
        <v>TAME|AGBID|6</v>
        <stp/>
        <stp>TAME</stp>
        <stp>AGBID</stp>
        <stp>6</stp>
        <tr r="R7" s="1"/>
      </tp>
      <tp t="s">
        <v>TAME|AGBID|7</v>
        <stp/>
        <stp>TAME</stp>
        <stp>AGBID</stp>
        <stp>7</stp>
        <tr r="R8" s="1"/>
      </tp>
      <tp t="s">
        <v>CRZY|AGBSZ|15</v>
        <stp/>
        <stp>CRZY</stp>
        <stp>AGBSZ</stp>
        <stp>15</stp>
        <tr r="I16" s="1"/>
      </tp>
      <tp t="s">
        <v>CRZY|AGBSZ|14</v>
        <stp/>
        <stp>CRZY</stp>
        <stp>AGBSZ</stp>
        <stp>14</stp>
        <tr r="I15" s="1"/>
      </tp>
      <tp t="s">
        <v>CRZY|AGBSZ|17</v>
        <stp/>
        <stp>CRZY</stp>
        <stp>AGBSZ</stp>
        <stp>17</stp>
        <tr r="I18" s="1"/>
      </tp>
      <tp t="s">
        <v>CRZY|AGBSZ|16</v>
        <stp/>
        <stp>CRZY</stp>
        <stp>AGBSZ</stp>
        <stp>16</stp>
        <tr r="I17" s="1"/>
      </tp>
      <tp t="s">
        <v>CRZY|AGBSZ|11</v>
        <stp/>
        <stp>CRZY</stp>
        <stp>AGBSZ</stp>
        <stp>11</stp>
        <tr r="I12" s="1"/>
      </tp>
      <tp t="s">
        <v>CRZY|AGASK|20</v>
        <stp/>
        <stp>CRZY</stp>
        <stp>AGASK</stp>
        <stp>20</stp>
        <tr r="K21" s="1"/>
      </tp>
      <tp t="s">
        <v>CRZY|AGASZ|20</v>
        <stp/>
        <stp>CRZY</stp>
        <stp>AGASZ</stp>
        <stp>20</stp>
        <tr r="L21" s="1"/>
      </tp>
      <tp t="s">
        <v>CRZY|AGBSZ|10</v>
        <stp/>
        <stp>CRZY</stp>
        <stp>AGBSZ</stp>
        <stp>10</stp>
        <tr r="I11" s="1"/>
      </tp>
      <tp t="s">
        <v>CRZY|AGBSZ|13</v>
        <stp/>
        <stp>CRZY</stp>
        <stp>AGBSZ</stp>
        <stp>13</stp>
        <tr r="I14" s="1"/>
      </tp>
      <tp t="s">
        <v>CRZY|AGBSZ|12</v>
        <stp/>
        <stp>CRZY</stp>
        <stp>AGBSZ</stp>
        <stp>12</stp>
        <tr r="I13" s="1"/>
      </tp>
      <tp t="s">
        <v>CRZY|AGBSZ|19</v>
        <stp/>
        <stp>CRZY</stp>
        <stp>AGBSZ</stp>
        <stp>19</stp>
        <tr r="I20" s="1"/>
      </tp>
      <tp t="s">
        <v>CRZY|AGBSZ|18</v>
        <stp/>
        <stp>CRZY</stp>
        <stp>AGBSZ</stp>
        <stp>18</stp>
        <tr r="I19" s="1"/>
      </tp>
      <tp t="s">
        <v>CRZY|AGBID|19</v>
        <stp/>
        <stp>CRZY</stp>
        <stp>AGBID</stp>
        <stp>19</stp>
        <tr r="J20" s="1"/>
      </tp>
      <tp t="s">
        <v>CRZY|AGBID|18</v>
        <stp/>
        <stp>CRZY</stp>
        <stp>AGBID</stp>
        <stp>18</stp>
        <tr r="J19" s="1"/>
      </tp>
      <tp t="s">
        <v>CRZY|AGBID|17</v>
        <stp/>
        <stp>CRZY</stp>
        <stp>AGBID</stp>
        <stp>17</stp>
        <tr r="J18" s="1"/>
      </tp>
      <tp t="s">
        <v>CRZY|AGBID|16</v>
        <stp/>
        <stp>CRZY</stp>
        <stp>AGBID</stp>
        <stp>16</stp>
        <tr r="J17" s="1"/>
      </tp>
      <tp t="s">
        <v>CRZY|AGBID|15</v>
        <stp/>
        <stp>CRZY</stp>
        <stp>AGBID</stp>
        <stp>15</stp>
        <tr r="J16" s="1"/>
      </tp>
      <tp t="s">
        <v>CRZY|AGBID|14</v>
        <stp/>
        <stp>CRZY</stp>
        <stp>AGBID</stp>
        <stp>14</stp>
        <tr r="J15" s="1"/>
      </tp>
      <tp t="s">
        <v>CRZY|AGBID|13</v>
        <stp/>
        <stp>CRZY</stp>
        <stp>AGBID</stp>
        <stp>13</stp>
        <tr r="J14" s="1"/>
      </tp>
      <tp t="s">
        <v>CRZY|AGBID|12</v>
        <stp/>
        <stp>CRZY</stp>
        <stp>AGBID</stp>
        <stp>12</stp>
        <tr r="J13" s="1"/>
      </tp>
      <tp t="s">
        <v>CRZY|AGBID|11</v>
        <stp/>
        <stp>CRZY</stp>
        <stp>AGBID</stp>
        <stp>11</stp>
        <tr r="J12" s="1"/>
      </tp>
      <tp t="s">
        <v>CRZY|AGBID|10</v>
        <stp/>
        <stp>CRZY</stp>
        <stp>AGBID</stp>
        <stp>10</stp>
        <tr r="J11" s="1"/>
      </tp>
      <tp t="s">
        <v>CRZY|AGASK|15</v>
        <stp/>
        <stp>CRZY</stp>
        <stp>AGASK</stp>
        <stp>15</stp>
        <tr r="K16" s="1"/>
      </tp>
      <tp t="s">
        <v>CRZY|AGASZ|15</v>
        <stp/>
        <stp>CRZY</stp>
        <stp>AGASZ</stp>
        <stp>15</stp>
        <tr r="L16" s="1"/>
      </tp>
      <tp t="s">
        <v>CRZY|AGASK|14</v>
        <stp/>
        <stp>CRZY</stp>
        <stp>AGASK</stp>
        <stp>14</stp>
        <tr r="K15" s="1"/>
      </tp>
      <tp t="s">
        <v>CRZY|AGASZ|14</v>
        <stp/>
        <stp>CRZY</stp>
        <stp>AGASZ</stp>
        <stp>14</stp>
        <tr r="L15" s="1"/>
      </tp>
      <tp t="s">
        <v>CRZY|AGASK|17</v>
        <stp/>
        <stp>CRZY</stp>
        <stp>AGASK</stp>
        <stp>17</stp>
        <tr r="K18" s="1"/>
      </tp>
      <tp t="s">
        <v>CRZY|AGASZ|17</v>
        <stp/>
        <stp>CRZY</stp>
        <stp>AGASZ</stp>
        <stp>17</stp>
        <tr r="L18" s="1"/>
      </tp>
      <tp t="s">
        <v>CRZY|AGASK|16</v>
        <stp/>
        <stp>CRZY</stp>
        <stp>AGASK</stp>
        <stp>16</stp>
        <tr r="K17" s="1"/>
      </tp>
      <tp t="s">
        <v>CRZY|AGASZ|16</v>
        <stp/>
        <stp>CRZY</stp>
        <stp>AGASZ</stp>
        <stp>16</stp>
        <tr r="L17" s="1"/>
      </tp>
      <tp t="s">
        <v>CRZY|AGASK|11</v>
        <stp/>
        <stp>CRZY</stp>
        <stp>AGASK</stp>
        <stp>11</stp>
        <tr r="K12" s="1"/>
      </tp>
      <tp t="s">
        <v>CRZY|AGASZ|11</v>
        <stp/>
        <stp>CRZY</stp>
        <stp>AGASZ</stp>
        <stp>11</stp>
        <tr r="L12" s="1"/>
      </tp>
      <tp t="s">
        <v>CRZY|AGASK|10</v>
        <stp/>
        <stp>CRZY</stp>
        <stp>AGASK</stp>
        <stp>10</stp>
        <tr r="K11" s="1"/>
      </tp>
      <tp t="s">
        <v>CRZY|AGASZ|10</v>
        <stp/>
        <stp>CRZY</stp>
        <stp>AGASZ</stp>
        <stp>10</stp>
        <tr r="L11" s="1"/>
      </tp>
      <tp t="s">
        <v>CRZY|AGBSZ|20</v>
        <stp/>
        <stp>CRZY</stp>
        <stp>AGBSZ</stp>
        <stp>20</stp>
        <tr r="I21" s="1"/>
      </tp>
      <tp t="s">
        <v>CRZY|AGASK|13</v>
        <stp/>
        <stp>CRZY</stp>
        <stp>AGASK</stp>
        <stp>13</stp>
        <tr r="K14" s="1"/>
      </tp>
      <tp t="s">
        <v>CRZY|AGASZ|13</v>
        <stp/>
        <stp>CRZY</stp>
        <stp>AGASZ</stp>
        <stp>13</stp>
        <tr r="L14" s="1"/>
      </tp>
      <tp t="s">
        <v>CRZY|AGASK|12</v>
        <stp/>
        <stp>CRZY</stp>
        <stp>AGASK</stp>
        <stp>12</stp>
        <tr r="K13" s="1"/>
      </tp>
      <tp t="s">
        <v>CRZY|AGASZ|12</v>
        <stp/>
        <stp>CRZY</stp>
        <stp>AGASZ</stp>
        <stp>12</stp>
        <tr r="L13" s="1"/>
      </tp>
      <tp t="s">
        <v>CRZY|AGASK|19</v>
        <stp/>
        <stp>CRZY</stp>
        <stp>AGASK</stp>
        <stp>19</stp>
        <tr r="K20" s="1"/>
      </tp>
      <tp t="s">
        <v>CRZY|AGASZ|19</v>
        <stp/>
        <stp>CRZY</stp>
        <stp>AGASZ</stp>
        <stp>19</stp>
        <tr r="L20" s="1"/>
      </tp>
      <tp t="s">
        <v>CRZY|AGASK|18</v>
        <stp/>
        <stp>CRZY</stp>
        <stp>AGASK</stp>
        <stp>18</stp>
        <tr r="K19" s="1"/>
      </tp>
      <tp t="s">
        <v>CRZY|AGASZ|18</v>
        <stp/>
        <stp>CRZY</stp>
        <stp>AGASZ</stp>
        <stp>18</stp>
        <tr r="L19" s="1"/>
      </tp>
      <tp t="s">
        <v>CRZY|AGBID|20</v>
        <stp/>
        <stp>CRZY</stp>
        <stp>AGBID</stp>
        <stp>20</stp>
        <tr r="J21" s="1"/>
      </tp>
      <tp t="s">
        <v>TAME|AGBID|18</v>
        <stp/>
        <stp>TAME</stp>
        <stp>AGBID</stp>
        <stp>18</stp>
        <tr r="R19" s="1"/>
      </tp>
      <tp t="s">
        <v>TAME|AGBID|19</v>
        <stp/>
        <stp>TAME</stp>
        <stp>AGBID</stp>
        <stp>19</stp>
        <tr r="R20" s="1"/>
      </tp>
      <tp t="s">
        <v>TAME|AGBID|10</v>
        <stp/>
        <stp>TAME</stp>
        <stp>AGBID</stp>
        <stp>10</stp>
        <tr r="R11" s="1"/>
      </tp>
      <tp t="s">
        <v>TAME|AGBID|11</v>
        <stp/>
        <stp>TAME</stp>
        <stp>AGBID</stp>
        <stp>11</stp>
        <tr r="R12" s="1"/>
      </tp>
      <tp t="s">
        <v>TAME|AGBID|12</v>
        <stp/>
        <stp>TAME</stp>
        <stp>AGBID</stp>
        <stp>12</stp>
        <tr r="R13" s="1"/>
      </tp>
      <tp t="s">
        <v>TAME|AGBID|13</v>
        <stp/>
        <stp>TAME</stp>
        <stp>AGBID</stp>
        <stp>13</stp>
        <tr r="R14" s="1"/>
      </tp>
      <tp t="s">
        <v>TAME|AGBID|14</v>
        <stp/>
        <stp>TAME</stp>
        <stp>AGBID</stp>
        <stp>14</stp>
        <tr r="R15" s="1"/>
      </tp>
      <tp t="s">
        <v>TAME|AGBID|15</v>
        <stp/>
        <stp>TAME</stp>
        <stp>AGBID</stp>
        <stp>15</stp>
        <tr r="R16" s="1"/>
      </tp>
      <tp t="s">
        <v>TAME|AGBID|16</v>
        <stp/>
        <stp>TAME</stp>
        <stp>AGBID</stp>
        <stp>16</stp>
        <tr r="R17" s="1"/>
      </tp>
      <tp t="s">
        <v>TAME|AGBID|17</v>
        <stp/>
        <stp>TAME</stp>
        <stp>AGBID</stp>
        <stp>17</stp>
        <tr r="R18" s="1"/>
      </tp>
      <tp t="s">
        <v>TAME|AGBSZ|12</v>
        <stp/>
        <stp>TAME</stp>
        <stp>AGBSZ</stp>
        <stp>12</stp>
        <tr r="Q13" s="1"/>
      </tp>
      <tp t="s">
        <v>TAME|AGBSZ|13</v>
        <stp/>
        <stp>TAME</stp>
        <stp>AGBSZ</stp>
        <stp>13</stp>
        <tr r="Q14" s="1"/>
      </tp>
      <tp t="s">
        <v>TAME|AGASZ|20</v>
        <stp/>
        <stp>TAME</stp>
        <stp>AGASZ</stp>
        <stp>20</stp>
        <tr r="T21" s="1"/>
      </tp>
      <tp t="s">
        <v>TAME|AGBSZ|10</v>
        <stp/>
        <stp>TAME</stp>
        <stp>AGBSZ</stp>
        <stp>10</stp>
        <tr r="Q11" s="1"/>
      </tp>
      <tp t="s">
        <v>TAME|AGASK|20</v>
        <stp/>
        <stp>TAME</stp>
        <stp>AGASK</stp>
        <stp>20</stp>
        <tr r="S21" s="1"/>
      </tp>
      <tp t="s">
        <v>TAME|AGBSZ|11</v>
        <stp/>
        <stp>TAME</stp>
        <stp>AGBSZ</stp>
        <stp>11</stp>
        <tr r="Q12" s="1"/>
      </tp>
      <tp t="s">
        <v>TAME|AGBSZ|16</v>
        <stp/>
        <stp>TAME</stp>
        <stp>AGBSZ</stp>
        <stp>16</stp>
        <tr r="Q17" s="1"/>
      </tp>
      <tp t="s">
        <v>TAME|AGBSZ|17</v>
        <stp/>
        <stp>TAME</stp>
        <stp>AGBSZ</stp>
        <stp>17</stp>
        <tr r="Q18" s="1"/>
      </tp>
      <tp t="s">
        <v>TAME|AGBSZ|14</v>
        <stp/>
        <stp>TAME</stp>
        <stp>AGBSZ</stp>
        <stp>14</stp>
        <tr r="Q15" s="1"/>
      </tp>
      <tp t="s">
        <v>TAME|AGBSZ|15</v>
        <stp/>
        <stp>TAME</stp>
        <stp>AGBSZ</stp>
        <stp>15</stp>
        <tr r="Q16" s="1"/>
      </tp>
      <tp t="s">
        <v>TAME|AGBSZ|18</v>
        <stp/>
        <stp>TAME</stp>
        <stp>AGBSZ</stp>
        <stp>18</stp>
        <tr r="Q19" s="1"/>
      </tp>
      <tp t="s">
        <v>TAME|AGBSZ|19</v>
        <stp/>
        <stp>TAME</stp>
        <stp>AGBSZ</stp>
        <stp>19</stp>
        <tr r="Q20" s="1"/>
      </tp>
      <tp t="s">
        <v>TAME|AGBID|20</v>
        <stp/>
        <stp>TAME</stp>
        <stp>AGBID</stp>
        <stp>20</stp>
        <tr r="R21" s="1"/>
      </tp>
      <tp t="s">
        <v>TAME|AGASZ|12</v>
        <stp/>
        <stp>TAME</stp>
        <stp>AGASZ</stp>
        <stp>12</stp>
        <tr r="T13" s="1"/>
      </tp>
      <tp t="s">
        <v>TAME|AGASK|12</v>
        <stp/>
        <stp>TAME</stp>
        <stp>AGASK</stp>
        <stp>12</stp>
        <tr r="S13" s="1"/>
      </tp>
      <tp t="s">
        <v>TAME|AGASZ|13</v>
        <stp/>
        <stp>TAME</stp>
        <stp>AGASZ</stp>
        <stp>13</stp>
        <tr r="T14" s="1"/>
      </tp>
      <tp t="s">
        <v>TAME|AGASK|13</v>
        <stp/>
        <stp>TAME</stp>
        <stp>AGASK</stp>
        <stp>13</stp>
        <tr r="S14" s="1"/>
      </tp>
      <tp t="s">
        <v>TAME|AGASZ|10</v>
        <stp/>
        <stp>TAME</stp>
        <stp>AGASZ</stp>
        <stp>10</stp>
        <tr r="T11" s="1"/>
      </tp>
      <tp t="s">
        <v>TAME|AGBSZ|20</v>
        <stp/>
        <stp>TAME</stp>
        <stp>AGBSZ</stp>
        <stp>20</stp>
        <tr r="Q21" s="1"/>
      </tp>
      <tp t="s">
        <v>TAME|AGASK|10</v>
        <stp/>
        <stp>TAME</stp>
        <stp>AGASK</stp>
        <stp>10</stp>
        <tr r="S11" s="1"/>
      </tp>
      <tp t="s">
        <v>TAME|AGASZ|11</v>
        <stp/>
        <stp>TAME</stp>
        <stp>AGASZ</stp>
        <stp>11</stp>
        <tr r="T12" s="1"/>
      </tp>
      <tp t="s">
        <v>TAME|AGASK|11</v>
        <stp/>
        <stp>TAME</stp>
        <stp>AGASK</stp>
        <stp>11</stp>
        <tr r="S12" s="1"/>
      </tp>
      <tp t="s">
        <v>TAME|AGASZ|16</v>
        <stp/>
        <stp>TAME</stp>
        <stp>AGASZ</stp>
        <stp>16</stp>
        <tr r="T17" s="1"/>
      </tp>
      <tp t="s">
        <v>TAME|AGASK|16</v>
        <stp/>
        <stp>TAME</stp>
        <stp>AGASK</stp>
        <stp>16</stp>
        <tr r="S17" s="1"/>
      </tp>
      <tp t="s">
        <v>TAME|AGASZ|17</v>
        <stp/>
        <stp>TAME</stp>
        <stp>AGASZ</stp>
        <stp>17</stp>
        <tr r="T18" s="1"/>
      </tp>
      <tp t="s">
        <v>TAME|AGASK|17</v>
        <stp/>
        <stp>TAME</stp>
        <stp>AGASK</stp>
        <stp>17</stp>
        <tr r="S18" s="1"/>
      </tp>
      <tp t="s">
        <v>TAME|AGASZ|14</v>
        <stp/>
        <stp>TAME</stp>
        <stp>AGASZ</stp>
        <stp>14</stp>
        <tr r="T15" s="1"/>
      </tp>
      <tp t="s">
        <v>TAME|AGASK|14</v>
        <stp/>
        <stp>TAME</stp>
        <stp>AGASK</stp>
        <stp>14</stp>
        <tr r="S15" s="1"/>
      </tp>
      <tp t="s">
        <v>TAME|AGASZ|15</v>
        <stp/>
        <stp>TAME</stp>
        <stp>AGASZ</stp>
        <stp>15</stp>
        <tr r="T16" s="1"/>
      </tp>
      <tp t="s">
        <v>TAME|AGASK|15</v>
        <stp/>
        <stp>TAME</stp>
        <stp>AGASK</stp>
        <stp>15</stp>
        <tr r="S16" s="1"/>
      </tp>
      <tp t="s">
        <v>TAME|AGASZ|18</v>
        <stp/>
        <stp>TAME</stp>
        <stp>AGASZ</stp>
        <stp>18</stp>
        <tr r="T19" s="1"/>
      </tp>
      <tp t="s">
        <v>TAME|AGASK|18</v>
        <stp/>
        <stp>TAME</stp>
        <stp>AGASK</stp>
        <stp>18</stp>
        <tr r="S19" s="1"/>
      </tp>
      <tp t="s">
        <v>TAME|AGASZ|19</v>
        <stp/>
        <stp>TAME</stp>
        <stp>AGASZ</stp>
        <stp>19</stp>
        <tr r="T20" s="1"/>
      </tp>
      <tp t="s">
        <v>TAME|AGASK|19</v>
        <stp/>
        <stp>TAME</stp>
        <stp>AGASK</stp>
        <stp>19</stp>
        <tr r="S20" s="1"/>
      </tp>
      <tp t="s">
        <v>CROC|AGASK|15</v>
        <stp/>
        <stp>CROC</stp>
        <stp>AGASK</stp>
        <stp>15</stp>
        <tr r="AA16" s="1"/>
      </tp>
      <tp t="s">
        <v>CROC|AGASZ|15</v>
        <stp/>
        <stp>CROC</stp>
        <stp>AGASZ</stp>
        <stp>15</stp>
        <tr r="AB16" s="1"/>
      </tp>
      <tp t="s">
        <v>CROC|AGASK|14</v>
        <stp/>
        <stp>CROC</stp>
        <stp>AGASK</stp>
        <stp>14</stp>
        <tr r="AA15" s="1"/>
      </tp>
      <tp t="s">
        <v>CROC|AGASZ|14</v>
        <stp/>
        <stp>CROC</stp>
        <stp>AGASZ</stp>
        <stp>14</stp>
        <tr r="AB15" s="1"/>
      </tp>
      <tp t="s">
        <v>CROC|AGASK|17</v>
        <stp/>
        <stp>CROC</stp>
        <stp>AGASK</stp>
        <stp>17</stp>
        <tr r="AA18" s="1"/>
      </tp>
      <tp t="s">
        <v>CROC|AGASZ|17</v>
        <stp/>
        <stp>CROC</stp>
        <stp>AGASZ</stp>
        <stp>17</stp>
        <tr r="AB18" s="1"/>
      </tp>
      <tp t="s">
        <v>CROC|AGASK|16</v>
        <stp/>
        <stp>CROC</stp>
        <stp>AGASK</stp>
        <stp>16</stp>
        <tr r="AA17" s="1"/>
      </tp>
      <tp t="s">
        <v>CROC|AGASZ|16</v>
        <stp/>
        <stp>CROC</stp>
        <stp>AGASZ</stp>
        <stp>16</stp>
        <tr r="AB17" s="1"/>
      </tp>
      <tp t="s">
        <v>CROC|AGASK|11</v>
        <stp/>
        <stp>CROC</stp>
        <stp>AGASK</stp>
        <stp>11</stp>
        <tr r="AA12" s="1"/>
      </tp>
      <tp t="s">
        <v>CROC|AGASZ|11</v>
        <stp/>
        <stp>CROC</stp>
        <stp>AGASZ</stp>
        <stp>11</stp>
        <tr r="AB12" s="1"/>
      </tp>
      <tp t="s">
        <v>CROC|AGASK|10</v>
        <stp/>
        <stp>CROC</stp>
        <stp>AGASK</stp>
        <stp>10</stp>
        <tr r="AA11" s="1"/>
      </tp>
      <tp t="s">
        <v>CROC|AGASZ|10</v>
        <stp/>
        <stp>CROC</stp>
        <stp>AGASZ</stp>
        <stp>10</stp>
        <tr r="AB11" s="1"/>
      </tp>
      <tp t="s">
        <v>CROC|AGBSZ|20</v>
        <stp/>
        <stp>CROC</stp>
        <stp>AGBSZ</stp>
        <stp>20</stp>
        <tr r="Y21" s="1"/>
      </tp>
      <tp t="s">
        <v>CROC|AGASK|13</v>
        <stp/>
        <stp>CROC</stp>
        <stp>AGASK</stp>
        <stp>13</stp>
        <tr r="AA14" s="1"/>
      </tp>
      <tp t="s">
        <v>CROC|AGASZ|13</v>
        <stp/>
        <stp>CROC</stp>
        <stp>AGASZ</stp>
        <stp>13</stp>
        <tr r="AB14" s="1"/>
      </tp>
      <tp t="s">
        <v>CROC|AGASK|12</v>
        <stp/>
        <stp>CROC</stp>
        <stp>AGASK</stp>
        <stp>12</stp>
        <tr r="AA13" s="1"/>
      </tp>
      <tp t="s">
        <v>CROC|AGASZ|12</v>
        <stp/>
        <stp>CROC</stp>
        <stp>AGASZ</stp>
        <stp>12</stp>
        <tr r="AB13" s="1"/>
      </tp>
      <tp t="s">
        <v>CROC|AGASK|19</v>
        <stp/>
        <stp>CROC</stp>
        <stp>AGASK</stp>
        <stp>19</stp>
        <tr r="AA20" s="1"/>
      </tp>
      <tp t="s">
        <v>CROC|AGASZ|19</v>
        <stp/>
        <stp>CROC</stp>
        <stp>AGASZ</stp>
        <stp>19</stp>
        <tr r="AB20" s="1"/>
      </tp>
      <tp t="s">
        <v>CROC|AGASK|18</v>
        <stp/>
        <stp>CROC</stp>
        <stp>AGASK</stp>
        <stp>18</stp>
        <tr r="AA19" s="1"/>
      </tp>
      <tp t="s">
        <v>CROC|AGASZ|18</v>
        <stp/>
        <stp>CROC</stp>
        <stp>AGASZ</stp>
        <stp>18</stp>
        <tr r="AB19" s="1"/>
      </tp>
      <tp t="s">
        <v>CROC|AGBID|20</v>
        <stp/>
        <stp>CROC</stp>
        <stp>AGBID</stp>
        <stp>20</stp>
        <tr r="Z21" s="1"/>
      </tp>
      <tp t="s">
        <v>CROC|AGBSZ|15</v>
        <stp/>
        <stp>CROC</stp>
        <stp>AGBSZ</stp>
        <stp>15</stp>
        <tr r="Y16" s="1"/>
      </tp>
      <tp t="s">
        <v>CROC|AGBSZ|14</v>
        <stp/>
        <stp>CROC</stp>
        <stp>AGBSZ</stp>
        <stp>14</stp>
        <tr r="Y15" s="1"/>
      </tp>
      <tp t="s">
        <v>CROC|AGBSZ|17</v>
        <stp/>
        <stp>CROC</stp>
        <stp>AGBSZ</stp>
        <stp>17</stp>
        <tr r="Y18" s="1"/>
      </tp>
      <tp t="s">
        <v>CROC|AGBSZ|16</v>
        <stp/>
        <stp>CROC</stp>
        <stp>AGBSZ</stp>
        <stp>16</stp>
        <tr r="Y17" s="1"/>
      </tp>
      <tp t="s">
        <v>CROC|AGBSZ|11</v>
        <stp/>
        <stp>CROC</stp>
        <stp>AGBSZ</stp>
        <stp>11</stp>
        <tr r="Y12" s="1"/>
      </tp>
      <tp t="s">
        <v>CROC|AGASK|20</v>
        <stp/>
        <stp>CROC</stp>
        <stp>AGASK</stp>
        <stp>20</stp>
        <tr r="AA21" s="1"/>
      </tp>
      <tp t="s">
        <v>CROC|AGASZ|20</v>
        <stp/>
        <stp>CROC</stp>
        <stp>AGASZ</stp>
        <stp>20</stp>
        <tr r="AB21" s="1"/>
      </tp>
      <tp t="s">
        <v>CROC|AGBSZ|10</v>
        <stp/>
        <stp>CROC</stp>
        <stp>AGBSZ</stp>
        <stp>10</stp>
        <tr r="Y11" s="1"/>
      </tp>
      <tp t="s">
        <v>CROC|AGBSZ|13</v>
        <stp/>
        <stp>CROC</stp>
        <stp>AGBSZ</stp>
        <stp>13</stp>
        <tr r="Y14" s="1"/>
      </tp>
      <tp t="s">
        <v>CROC|AGBSZ|12</v>
        <stp/>
        <stp>CROC</stp>
        <stp>AGBSZ</stp>
        <stp>12</stp>
        <tr r="Y13" s="1"/>
      </tp>
      <tp t="s">
        <v>CROC|AGBSZ|19</v>
        <stp/>
        <stp>CROC</stp>
        <stp>AGBSZ</stp>
        <stp>19</stp>
        <tr r="Y20" s="1"/>
      </tp>
      <tp t="s">
        <v>CROC|AGBSZ|18</v>
        <stp/>
        <stp>CROC</stp>
        <stp>AGBSZ</stp>
        <stp>18</stp>
        <tr r="Y19" s="1"/>
      </tp>
      <tp t="s">
        <v>CROC|AGBID|19</v>
        <stp/>
        <stp>CROC</stp>
        <stp>AGBID</stp>
        <stp>19</stp>
        <tr r="Z20" s="1"/>
      </tp>
      <tp t="s">
        <v>CROC|AGBID|18</v>
        <stp/>
        <stp>CROC</stp>
        <stp>AGBID</stp>
        <stp>18</stp>
        <tr r="Z19" s="1"/>
      </tp>
      <tp t="s">
        <v>CROC|AGBID|17</v>
        <stp/>
        <stp>CROC</stp>
        <stp>AGBID</stp>
        <stp>17</stp>
        <tr r="Z18" s="1"/>
      </tp>
      <tp t="s">
        <v>CROC|AGBID|16</v>
        <stp/>
        <stp>CROC</stp>
        <stp>AGBID</stp>
        <stp>16</stp>
        <tr r="Z17" s="1"/>
      </tp>
      <tp t="s">
        <v>CROC|AGBID|15</v>
        <stp/>
        <stp>CROC</stp>
        <stp>AGBID</stp>
        <stp>15</stp>
        <tr r="Z16" s="1"/>
      </tp>
      <tp t="s">
        <v>CROC|AGBID|14</v>
        <stp/>
        <stp>CROC</stp>
        <stp>AGBID</stp>
        <stp>14</stp>
        <tr r="Z15" s="1"/>
      </tp>
      <tp t="s">
        <v>CROC|AGBID|13</v>
        <stp/>
        <stp>CROC</stp>
        <stp>AGBID</stp>
        <stp>13</stp>
        <tr r="Z14" s="1"/>
      </tp>
      <tp t="s">
        <v>CROC|AGBID|12</v>
        <stp/>
        <stp>CROC</stp>
        <stp>AGBID</stp>
        <stp>12</stp>
        <tr r="Z13" s="1"/>
      </tp>
      <tp t="s">
        <v>CROC|AGBID|11</v>
        <stp/>
        <stp>CROC</stp>
        <stp>AGBID</stp>
        <stp>11</stp>
        <tr r="Z12" s="1"/>
      </tp>
      <tp t="s">
        <v>CROC|AGBID|10</v>
        <stp/>
        <stp>CROC</stp>
        <stp>AGBID</stp>
        <stp>10</stp>
        <tr r="Z1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3E05-27AB-4F59-B86E-7063149243DB}">
  <sheetPr codeName="Sheet1"/>
  <dimension ref="A1:AC21"/>
  <sheetViews>
    <sheetView tabSelected="1" topLeftCell="T1" workbookViewId="0">
      <selection activeCell="B1" sqref="B1"/>
    </sheetView>
  </sheetViews>
  <sheetFormatPr defaultRowHeight="14.5" x14ac:dyDescent="0.35"/>
  <cols>
    <col min="1" max="1" width="33" bestFit="1" customWidth="1"/>
    <col min="4" max="5" width="8.7265625" customWidth="1"/>
  </cols>
  <sheetData>
    <row r="1" spans="1:29" ht="15" thickBot="1" x14ac:dyDescent="0.4">
      <c r="A1" t="s">
        <v>16</v>
      </c>
      <c r="B1" t="e">
        <f>B2-RTD("rit2.rtd",,"TIMEREMAINING")</f>
        <v>#VALUE!</v>
      </c>
      <c r="G1" t="s">
        <v>2</v>
      </c>
      <c r="H1">
        <v>1</v>
      </c>
      <c r="I1" s="7" t="s">
        <v>13</v>
      </c>
      <c r="K1" s="7"/>
      <c r="P1">
        <v>2</v>
      </c>
      <c r="Q1" t="s">
        <v>14</v>
      </c>
      <c r="X1">
        <v>2</v>
      </c>
      <c r="Y1" t="s">
        <v>15</v>
      </c>
    </row>
    <row r="2" spans="1:29" ht="15" thickBot="1" x14ac:dyDescent="0.4">
      <c r="A2" t="s">
        <v>17</v>
      </c>
      <c r="B2">
        <v>420</v>
      </c>
      <c r="G2">
        <v>1</v>
      </c>
      <c r="H2" s="8">
        <f>SUM(I$2:I2)</f>
        <v>0</v>
      </c>
      <c r="I2" s="12" t="str">
        <f>RTD("rit2.rtd",,$I$1,"AGBSZ",G2)</f>
        <v>CRZY|AGBSZ|1</v>
      </c>
      <c r="J2" s="13" t="str">
        <f>RTD("rit2.rtd",,$I$1,"AGBID",G2)</f>
        <v>CRZY|AGBID|1</v>
      </c>
      <c r="K2" s="17" t="str">
        <f>RTD("rit2.rtd",,$I$1,"AGASK",G2)</f>
        <v>CRZY|AGASK|1</v>
      </c>
      <c r="L2" s="12" t="str">
        <f>RTD("rit2.rtd",,$I$1,"AGASZ",G2)</f>
        <v>CRZY|AGASZ|1</v>
      </c>
      <c r="M2" s="18">
        <f>SUM(L$2:L2)</f>
        <v>0</v>
      </c>
      <c r="O2">
        <v>1</v>
      </c>
      <c r="P2" s="8">
        <f>SUM(Q$2:Q2)</f>
        <v>0</v>
      </c>
      <c r="Q2" s="12" t="str">
        <f>RTD("rit2.rtd",,$Q$1,"AGBSZ",O2)</f>
        <v>TAME|AGBSZ|1</v>
      </c>
      <c r="R2" s="13" t="str">
        <f>RTD("rit2.rtd",,$Q$1,"AGBID",O2)</f>
        <v>TAME|AGBID|1</v>
      </c>
      <c r="S2" s="17" t="str">
        <f>RTD("rit2.rtd",,$Q$1,"AGASK",O2)</f>
        <v>TAME|AGASK|1</v>
      </c>
      <c r="T2" s="12" t="str">
        <f>RTD("rit2.rtd",,$Q$1,"AGASZ",O2)</f>
        <v>TAME|AGASZ|1</v>
      </c>
      <c r="U2" s="18">
        <f>SUM(T$2:T2)</f>
        <v>0</v>
      </c>
      <c r="W2">
        <v>1</v>
      </c>
      <c r="X2" s="8">
        <f>SUM(Y$2:Y2)</f>
        <v>0</v>
      </c>
      <c r="Y2" s="12" t="str">
        <f>RTD("rit2.rtd",,$Y$1,"AGBSZ",W2)</f>
        <v>CROC|AGBSZ|1</v>
      </c>
      <c r="Z2" s="24" t="str">
        <f>RTD("rit2.rtd",,$Y$1,"AGBID",W2)</f>
        <v>CROC|AGBID|1</v>
      </c>
      <c r="AA2" s="24" t="str">
        <f>RTD("rit2.rtd",,$Y$1,"AGASK",W2)</f>
        <v>CROC|AGASK|1</v>
      </c>
      <c r="AB2" s="12" t="str">
        <f>RTD("rit2.rtd",,$Y$1,"AGASZ",W2)</f>
        <v>CROC|AGASZ|1</v>
      </c>
      <c r="AC2" s="18">
        <f>SUM(AB$2:AB2)</f>
        <v>0</v>
      </c>
    </row>
    <row r="3" spans="1:29" ht="15" thickBot="1" x14ac:dyDescent="0.4">
      <c r="A3" s="27" t="s">
        <v>18</v>
      </c>
      <c r="B3" s="28"/>
      <c r="C3" s="28"/>
      <c r="D3" s="28"/>
      <c r="E3" s="29"/>
      <c r="G3">
        <v>2</v>
      </c>
      <c r="H3" s="14">
        <f>SUM(I$2:I3)</f>
        <v>0</v>
      </c>
      <c r="I3" t="str">
        <f>RTD("rit2.rtd",,$I$1,"AGBSZ",G3)</f>
        <v>CRZY|AGBSZ|2</v>
      </c>
      <c r="J3" s="15" t="str">
        <f>RTD("rit2.rtd",,$I$1,"AGBID",G3)</f>
        <v>CRZY|AGBID|2</v>
      </c>
      <c r="K3" s="19" t="str">
        <f>RTD("rit2.rtd",,$I$1,"AGASK",G3)</f>
        <v>CRZY|AGASK|2</v>
      </c>
      <c r="L3" t="str">
        <f>RTD("rit2.rtd",,$I$1,"AGASZ",G3)</f>
        <v>CRZY|AGASZ|2</v>
      </c>
      <c r="M3" s="20">
        <f>SUM(L$2:L3)</f>
        <v>0</v>
      </c>
      <c r="O3">
        <v>2</v>
      </c>
      <c r="P3" s="14">
        <f>SUM(Q$2:Q3)</f>
        <v>0</v>
      </c>
      <c r="Q3" t="str">
        <f>RTD("rit2.rtd",,$Q$1,"AGBSZ",O3)</f>
        <v>TAME|AGBSZ|2</v>
      </c>
      <c r="R3" s="15" t="str">
        <f>RTD("rit2.rtd",,$Q$1,"AGBID",O3)</f>
        <v>TAME|AGBID|2</v>
      </c>
      <c r="S3" s="19" t="str">
        <f>RTD("rit2.rtd",,$Q$1,"AGASK",O3)</f>
        <v>TAME|AGASK|2</v>
      </c>
      <c r="T3" t="str">
        <f>RTD("rit2.rtd",,$Q$1,"AGASZ",O3)</f>
        <v>TAME|AGASZ|2</v>
      </c>
      <c r="U3" s="20">
        <f>SUM(T$2:T3)</f>
        <v>0</v>
      </c>
      <c r="W3">
        <v>2</v>
      </c>
      <c r="X3" s="14">
        <f>SUM(Y$2:Y3)</f>
        <v>0</v>
      </c>
      <c r="Y3" t="str">
        <f>RTD("rit2.rtd",,$Y$1,"AGBSZ",W3)</f>
        <v>CROC|AGBSZ|2</v>
      </c>
      <c r="Z3" s="23" t="str">
        <f>RTD("rit2.rtd",,$Y$1,"AGBID",W3)</f>
        <v>CROC|AGBID|2</v>
      </c>
      <c r="AA3" s="23" t="str">
        <f>RTD("rit2.rtd",,$Y$1,"AGASK",W3)</f>
        <v>CROC|AGASK|2</v>
      </c>
      <c r="AB3" t="str">
        <f>RTD("rit2.rtd",,$Y$1,"AGASZ",W3)</f>
        <v>CROC|AGASZ|2</v>
      </c>
      <c r="AC3" s="20">
        <f>SUM(AB$2:AB3)</f>
        <v>0</v>
      </c>
    </row>
    <row r="4" spans="1:29" x14ac:dyDescent="0.35">
      <c r="A4" s="11" t="s">
        <v>0</v>
      </c>
      <c r="B4" s="12" t="e">
        <f>VALUE(LEFT(E4,FIND(",",E4)-1))</f>
        <v>#VALUE!</v>
      </c>
      <c r="C4" s="9"/>
      <c r="D4" s="2" t="s">
        <v>1</v>
      </c>
      <c r="E4" s="3" t="str">
        <f>RTD("rit2.rtd",,"TENDERINFO",1)</f>
        <v>TENDERINFO|1</v>
      </c>
      <c r="G4">
        <v>3</v>
      </c>
      <c r="H4" s="14">
        <f>SUM(I$2:I4)</f>
        <v>0</v>
      </c>
      <c r="I4" t="str">
        <f>RTD("rit2.rtd",,$I$1,"AGBSZ",G4)</f>
        <v>CRZY|AGBSZ|3</v>
      </c>
      <c r="J4" s="15" t="str">
        <f>RTD("rit2.rtd",,$I$1,"AGBID",G4)</f>
        <v>CRZY|AGBID|3</v>
      </c>
      <c r="K4" s="19" t="str">
        <f>RTD("rit2.rtd",,$I$1,"AGASK",G4)</f>
        <v>CRZY|AGASK|3</v>
      </c>
      <c r="L4" t="str">
        <f>RTD("rit2.rtd",,$I$1,"AGASZ",G4)</f>
        <v>CRZY|AGASZ|3</v>
      </c>
      <c r="M4" s="20">
        <f>SUM(L$2:L4)</f>
        <v>0</v>
      </c>
      <c r="O4">
        <v>3</v>
      </c>
      <c r="P4" s="14">
        <f>SUM(Q$2:Q4)</f>
        <v>0</v>
      </c>
      <c r="Q4" t="str">
        <f>RTD("rit2.rtd",,$Q$1,"AGBSZ",O4)</f>
        <v>TAME|AGBSZ|3</v>
      </c>
      <c r="R4" s="15" t="str">
        <f>RTD("rit2.rtd",,$Q$1,"AGBID",O4)</f>
        <v>TAME|AGBID|3</v>
      </c>
      <c r="S4" s="19" t="str">
        <f>RTD("rit2.rtd",,$Q$1,"AGASK",O4)</f>
        <v>TAME|AGASK|3</v>
      </c>
      <c r="T4" t="str">
        <f>RTD("rit2.rtd",,$Q$1,"AGASZ",O4)</f>
        <v>TAME|AGASZ|3</v>
      </c>
      <c r="U4" s="20">
        <f>SUM(T$2:T4)</f>
        <v>0</v>
      </c>
      <c r="W4">
        <v>3</v>
      </c>
      <c r="X4" s="14">
        <f>SUM(Y$2:Y4)</f>
        <v>0</v>
      </c>
      <c r="Y4" t="str">
        <f>RTD("rit2.rtd",,$Y$1,"AGBSZ",W4)</f>
        <v>CROC|AGBSZ|3</v>
      </c>
      <c r="Z4" s="23" t="str">
        <f>RTD("rit2.rtd",,$Y$1,"AGBID",W4)</f>
        <v>CROC|AGBID|3</v>
      </c>
      <c r="AA4" s="23" t="str">
        <f>RTD("rit2.rtd",,$Y$1,"AGASK",W4)</f>
        <v>CROC|AGASK|3</v>
      </c>
      <c r="AB4" t="str">
        <f>RTD("rit2.rtd",,$Y$1,"AGASZ",W4)</f>
        <v>CROC|AGASZ|3</v>
      </c>
      <c r="AC4" s="20">
        <f>SUM(AB$2:AB4)</f>
        <v>0</v>
      </c>
    </row>
    <row r="5" spans="1:29" x14ac:dyDescent="0.35">
      <c r="A5" s="1" t="s">
        <v>2</v>
      </c>
      <c r="B5" s="2" t="e">
        <f>LEFT(E5,FIND(",",E5)-1)</f>
        <v>#VALUE!</v>
      </c>
      <c r="C5" s="26"/>
      <c r="D5" s="2" t="s">
        <v>3</v>
      </c>
      <c r="E5" s="3" t="e">
        <f>RIGHT(E4,LEN(E4)-LEN(B4)-1)</f>
        <v>#VALUE!</v>
      </c>
      <c r="G5">
        <v>4</v>
      </c>
      <c r="H5" s="14">
        <f>SUM(I$2:I5)</f>
        <v>0</v>
      </c>
      <c r="I5" t="str">
        <f>RTD("rit2.rtd",,$I$1,"AGBSZ",G5)</f>
        <v>CRZY|AGBSZ|4</v>
      </c>
      <c r="J5" s="15" t="str">
        <f>RTD("rit2.rtd",,$I$1,"AGBID",G5)</f>
        <v>CRZY|AGBID|4</v>
      </c>
      <c r="K5" s="19" t="str">
        <f>RTD("rit2.rtd",,$I$1,"AGASK",G5)</f>
        <v>CRZY|AGASK|4</v>
      </c>
      <c r="L5" t="str">
        <f>RTD("rit2.rtd",,$I$1,"AGASZ",G5)</f>
        <v>CRZY|AGASZ|4</v>
      </c>
      <c r="M5" s="20">
        <f>SUM(L$2:L5)</f>
        <v>0</v>
      </c>
      <c r="O5">
        <v>4</v>
      </c>
      <c r="P5" s="14">
        <f>SUM(Q$2:Q5)</f>
        <v>0</v>
      </c>
      <c r="Q5" t="str">
        <f>RTD("rit2.rtd",,$Q$1,"AGBSZ",O5)</f>
        <v>TAME|AGBSZ|4</v>
      </c>
      <c r="R5" s="15" t="str">
        <f>RTD("rit2.rtd",,$Q$1,"AGBID",O5)</f>
        <v>TAME|AGBID|4</v>
      </c>
      <c r="S5" s="19" t="str">
        <f>RTD("rit2.rtd",,$Q$1,"AGASK",O5)</f>
        <v>TAME|AGASK|4</v>
      </c>
      <c r="T5" t="str">
        <f>RTD("rit2.rtd",,$Q$1,"AGASZ",O5)</f>
        <v>TAME|AGASZ|4</v>
      </c>
      <c r="U5" s="20">
        <f>SUM(T$2:T5)</f>
        <v>0</v>
      </c>
      <c r="W5">
        <v>4</v>
      </c>
      <c r="X5" s="14">
        <f>SUM(Y$2:Y5)</f>
        <v>0</v>
      </c>
      <c r="Y5" t="str">
        <f>RTD("rit2.rtd",,$Y$1,"AGBSZ",W5)</f>
        <v>CROC|AGBSZ|4</v>
      </c>
      <c r="Z5" s="23" t="str">
        <f>RTD("rit2.rtd",,$Y$1,"AGBID",W5)</f>
        <v>CROC|AGBID|4</v>
      </c>
      <c r="AA5" s="23" t="str">
        <f>RTD("rit2.rtd",,$Y$1,"AGASK",W5)</f>
        <v>CROC|AGASK|4</v>
      </c>
      <c r="AB5" t="str">
        <f>RTD("rit2.rtd",,$Y$1,"AGASZ",W5)</f>
        <v>CROC|AGASZ|4</v>
      </c>
      <c r="AC5" s="20">
        <f>SUM(AB$2:AB5)</f>
        <v>0</v>
      </c>
    </row>
    <row r="6" spans="1:29" x14ac:dyDescent="0.35">
      <c r="A6" s="1" t="s">
        <v>12</v>
      </c>
      <c r="B6" s="2" t="e">
        <f>IF(B5="CRZY",1,IF(B5="TAME",2,3))</f>
        <v>#VALUE!</v>
      </c>
      <c r="C6" s="26"/>
      <c r="D6" s="2" t="s">
        <v>5</v>
      </c>
      <c r="E6" s="3" t="e">
        <f>RIGHT(E5,LEN(E5)-LEN(B5)-1)</f>
        <v>#VALUE!</v>
      </c>
      <c r="G6">
        <v>5</v>
      </c>
      <c r="H6" s="14">
        <f>SUM(I$2:I6)</f>
        <v>0</v>
      </c>
      <c r="I6" t="str">
        <f>RTD("rit2.rtd",,$I$1,"AGBSZ",G6)</f>
        <v>CRZY|AGBSZ|5</v>
      </c>
      <c r="J6" s="15" t="str">
        <f>RTD("rit2.rtd",,$I$1,"AGBID",G6)</f>
        <v>CRZY|AGBID|5</v>
      </c>
      <c r="K6" s="19" t="str">
        <f>RTD("rit2.rtd",,$I$1,"AGASK",G6)</f>
        <v>CRZY|AGASK|5</v>
      </c>
      <c r="L6" t="str">
        <f>RTD("rit2.rtd",,$I$1,"AGASZ",G6)</f>
        <v>CRZY|AGASZ|5</v>
      </c>
      <c r="M6" s="20">
        <f>SUM(L$2:L6)</f>
        <v>0</v>
      </c>
      <c r="O6">
        <v>5</v>
      </c>
      <c r="P6" s="14">
        <f>SUM(Q$2:Q6)</f>
        <v>0</v>
      </c>
      <c r="Q6" t="str">
        <f>RTD("rit2.rtd",,$Q$1,"AGBSZ",O6)</f>
        <v>TAME|AGBSZ|5</v>
      </c>
      <c r="R6" s="15" t="str">
        <f>RTD("rit2.rtd",,$Q$1,"AGBID",O6)</f>
        <v>TAME|AGBID|5</v>
      </c>
      <c r="S6" s="19" t="str">
        <f>RTD("rit2.rtd",,$Q$1,"AGASK",O6)</f>
        <v>TAME|AGASK|5</v>
      </c>
      <c r="T6" t="str">
        <f>RTD("rit2.rtd",,$Q$1,"AGASZ",O6)</f>
        <v>TAME|AGASZ|5</v>
      </c>
      <c r="U6" s="20">
        <f>SUM(T$2:T6)</f>
        <v>0</v>
      </c>
      <c r="W6">
        <v>5</v>
      </c>
      <c r="X6" s="14">
        <f>SUM(Y$2:Y6)</f>
        <v>0</v>
      </c>
      <c r="Y6" t="str">
        <f>RTD("rit2.rtd",,$Y$1,"AGBSZ",W6)</f>
        <v>CROC|AGBSZ|5</v>
      </c>
      <c r="Z6" s="23" t="str">
        <f>RTD("rit2.rtd",,$Y$1,"AGBID",W6)</f>
        <v>CROC|AGBID|5</v>
      </c>
      <c r="AA6" s="23" t="str">
        <f>RTD("rit2.rtd",,$Y$1,"AGASK",W6)</f>
        <v>CROC|AGASK|5</v>
      </c>
      <c r="AB6" t="str">
        <f>RTD("rit2.rtd",,$Y$1,"AGASZ",W6)</f>
        <v>CROC|AGASZ|5</v>
      </c>
      <c r="AC6" s="20">
        <f>SUM(AB$2:AB6)</f>
        <v>0</v>
      </c>
    </row>
    <row r="7" spans="1:29" x14ac:dyDescent="0.35">
      <c r="A7" s="1" t="s">
        <v>4</v>
      </c>
      <c r="B7" t="e">
        <f>VALUE(LEFT(E6,FIND(",",E6)-1))</f>
        <v>#VALUE!</v>
      </c>
      <c r="C7" s="3" t="str">
        <f>IFERROR(IF(B7&gt;0,"BUY",IF(B7&lt;0,"SELL","")),"")</f>
        <v/>
      </c>
      <c r="D7" s="2" t="s">
        <v>7</v>
      </c>
      <c r="E7" s="3" t="e">
        <f>RIGHT(E6,LEN(E6)-LEN(B7)-1)</f>
        <v>#VALUE!</v>
      </c>
      <c r="G7">
        <v>6</v>
      </c>
      <c r="H7" s="14">
        <f>SUM(I$2:I7)</f>
        <v>0</v>
      </c>
      <c r="I7" t="str">
        <f>RTD("rit2.rtd",,$I$1,"AGBSZ",G7)</f>
        <v>CRZY|AGBSZ|6</v>
      </c>
      <c r="J7" s="15" t="str">
        <f>RTD("rit2.rtd",,$I$1,"AGBID",G7)</f>
        <v>CRZY|AGBID|6</v>
      </c>
      <c r="K7" s="19" t="str">
        <f>RTD("rit2.rtd",,$I$1,"AGASK",G7)</f>
        <v>CRZY|AGASK|6</v>
      </c>
      <c r="L7" t="str">
        <f>RTD("rit2.rtd",,$I$1,"AGASZ",G7)</f>
        <v>CRZY|AGASZ|6</v>
      </c>
      <c r="M7" s="20">
        <f>SUM(L$2:L7)</f>
        <v>0</v>
      </c>
      <c r="O7">
        <v>6</v>
      </c>
      <c r="P7" s="14">
        <f>SUM(Q$2:Q7)</f>
        <v>0</v>
      </c>
      <c r="Q7" t="str">
        <f>RTD("rit2.rtd",,$Q$1,"AGBSZ",O7)</f>
        <v>TAME|AGBSZ|6</v>
      </c>
      <c r="R7" s="15" t="str">
        <f>RTD("rit2.rtd",,$Q$1,"AGBID",O7)</f>
        <v>TAME|AGBID|6</v>
      </c>
      <c r="S7" s="19" t="str">
        <f>RTD("rit2.rtd",,$Q$1,"AGASK",O7)</f>
        <v>TAME|AGASK|6</v>
      </c>
      <c r="T7" t="str">
        <f>RTD("rit2.rtd",,$Q$1,"AGASZ",O7)</f>
        <v>TAME|AGASZ|6</v>
      </c>
      <c r="U7" s="20">
        <f>SUM(T$2:T7)</f>
        <v>0</v>
      </c>
      <c r="W7">
        <v>6</v>
      </c>
      <c r="X7" s="14">
        <f>SUM(Y$2:Y7)</f>
        <v>0</v>
      </c>
      <c r="Y7" t="str">
        <f>RTD("rit2.rtd",,$Y$1,"AGBSZ",W7)</f>
        <v>CROC|AGBSZ|6</v>
      </c>
      <c r="Z7" s="23" t="str">
        <f>RTD("rit2.rtd",,$Y$1,"AGBID",W7)</f>
        <v>CROC|AGBID|6</v>
      </c>
      <c r="AA7" s="23" t="str">
        <f>RTD("rit2.rtd",,$Y$1,"AGASK",W7)</f>
        <v>CROC|AGASK|6</v>
      </c>
      <c r="AB7" t="str">
        <f>RTD("rit2.rtd",,$Y$1,"AGASZ",W7)</f>
        <v>CROC|AGASZ|6</v>
      </c>
      <c r="AC7" s="20">
        <f>SUM(AB$2:AB7)</f>
        <v>0</v>
      </c>
    </row>
    <row r="8" spans="1:29" x14ac:dyDescent="0.35">
      <c r="A8" s="1" t="s">
        <v>6</v>
      </c>
      <c r="B8" t="e">
        <f>VALUE(LEFT(E7,FIND(",",E7)-1))</f>
        <v>#VALUE!</v>
      </c>
      <c r="C8" s="3"/>
      <c r="D8" s="2" t="s">
        <v>9</v>
      </c>
      <c r="E8" s="3" t="e">
        <f>RIGHT(E7,LEN(E7)-LEN(B8)-1)</f>
        <v>#VALUE!</v>
      </c>
      <c r="G8">
        <v>7</v>
      </c>
      <c r="H8" s="14">
        <f>SUM(I$2:I8)</f>
        <v>0</v>
      </c>
      <c r="I8" t="str">
        <f>RTD("rit2.rtd",,$I$1,"AGBSZ",G8)</f>
        <v>CRZY|AGBSZ|7</v>
      </c>
      <c r="J8" s="15" t="str">
        <f>RTD("rit2.rtd",,$I$1,"AGBID",G8)</f>
        <v>CRZY|AGBID|7</v>
      </c>
      <c r="K8" s="19" t="str">
        <f>RTD("rit2.rtd",,$I$1,"AGASK",G8)</f>
        <v>CRZY|AGASK|7</v>
      </c>
      <c r="L8" t="str">
        <f>RTD("rit2.rtd",,$I$1,"AGASZ",G8)</f>
        <v>CRZY|AGASZ|7</v>
      </c>
      <c r="M8" s="20">
        <f>SUM(L$2:L8)</f>
        <v>0</v>
      </c>
      <c r="O8">
        <v>7</v>
      </c>
      <c r="P8" s="14">
        <f>SUM(Q$2:Q8)</f>
        <v>0</v>
      </c>
      <c r="Q8" t="str">
        <f>RTD("rit2.rtd",,$Q$1,"AGBSZ",O8)</f>
        <v>TAME|AGBSZ|7</v>
      </c>
      <c r="R8" s="15" t="str">
        <f>RTD("rit2.rtd",,$Q$1,"AGBID",O8)</f>
        <v>TAME|AGBID|7</v>
      </c>
      <c r="S8" s="19" t="str">
        <f>RTD("rit2.rtd",,$Q$1,"AGASK",O8)</f>
        <v>TAME|AGASK|7</v>
      </c>
      <c r="T8" t="str">
        <f>RTD("rit2.rtd",,$Q$1,"AGASZ",O8)</f>
        <v>TAME|AGASZ|7</v>
      </c>
      <c r="U8" s="20">
        <f>SUM(T$2:T8)</f>
        <v>0</v>
      </c>
      <c r="W8">
        <v>7</v>
      </c>
      <c r="X8" s="14">
        <f>SUM(Y$2:Y8)</f>
        <v>0</v>
      </c>
      <c r="Y8" t="str">
        <f>RTD("rit2.rtd",,$Y$1,"AGBSZ",W8)</f>
        <v>CROC|AGBSZ|7</v>
      </c>
      <c r="Z8" s="23" t="str">
        <f>RTD("rit2.rtd",,$Y$1,"AGBID",W8)</f>
        <v>CROC|AGBID|7</v>
      </c>
      <c r="AA8" s="23" t="str">
        <f>RTD("rit2.rtd",,$Y$1,"AGASK",W8)</f>
        <v>CROC|AGASK|7</v>
      </c>
      <c r="AB8" t="str">
        <f>RTD("rit2.rtd",,$Y$1,"AGASZ",W8)</f>
        <v>CROC|AGASZ|7</v>
      </c>
      <c r="AC8" s="20">
        <f>SUM(AB$2:AB8)</f>
        <v>0</v>
      </c>
    </row>
    <row r="9" spans="1:29" x14ac:dyDescent="0.35">
      <c r="A9" s="1" t="s">
        <v>8</v>
      </c>
      <c r="B9" t="e">
        <f>VALUE(LEFT(E8,FIND(",",E8)-1))</f>
        <v>#VALUE!</v>
      </c>
      <c r="C9" s="3"/>
      <c r="D9" s="2" t="s">
        <v>11</v>
      </c>
      <c r="E9" s="3" t="e">
        <f>RIGHT(E8,LEN(E8)-LEN(B9)-1)</f>
        <v>#VALUE!</v>
      </c>
      <c r="G9">
        <v>8</v>
      </c>
      <c r="H9" s="14">
        <f>SUM(I$2:I9)</f>
        <v>0</v>
      </c>
      <c r="I9" t="str">
        <f>RTD("rit2.rtd",,$I$1,"AGBSZ",G9)</f>
        <v>CRZY|AGBSZ|8</v>
      </c>
      <c r="J9" s="15" t="str">
        <f>RTD("rit2.rtd",,$I$1,"AGBID",G9)</f>
        <v>CRZY|AGBID|8</v>
      </c>
      <c r="K9" s="19" t="str">
        <f>RTD("rit2.rtd",,$I$1,"AGASK",G9)</f>
        <v>CRZY|AGASK|8</v>
      </c>
      <c r="L9" t="str">
        <f>RTD("rit2.rtd",,$I$1,"AGASZ",G9)</f>
        <v>CRZY|AGASZ|8</v>
      </c>
      <c r="M9" s="20">
        <f>SUM(L$2:L9)</f>
        <v>0</v>
      </c>
      <c r="O9">
        <v>8</v>
      </c>
      <c r="P9" s="14">
        <f>SUM(Q$2:Q9)</f>
        <v>0</v>
      </c>
      <c r="Q9" t="str">
        <f>RTD("rit2.rtd",,$Q$1,"AGBSZ",O9)</f>
        <v>TAME|AGBSZ|8</v>
      </c>
      <c r="R9" s="15" t="str">
        <f>RTD("rit2.rtd",,$Q$1,"AGBID",O9)</f>
        <v>TAME|AGBID|8</v>
      </c>
      <c r="S9" s="19" t="str">
        <f>RTD("rit2.rtd",,$Q$1,"AGASK",O9)</f>
        <v>TAME|AGASK|8</v>
      </c>
      <c r="T9" t="str">
        <f>RTD("rit2.rtd",,$Q$1,"AGASZ",O9)</f>
        <v>TAME|AGASZ|8</v>
      </c>
      <c r="U9" s="20">
        <f>SUM(T$2:T9)</f>
        <v>0</v>
      </c>
      <c r="W9">
        <v>8</v>
      </c>
      <c r="X9" s="14">
        <f>SUM(Y$2:Y9)</f>
        <v>0</v>
      </c>
      <c r="Y9" t="str">
        <f>RTD("rit2.rtd",,$Y$1,"AGBSZ",W9)</f>
        <v>CROC|AGBSZ|8</v>
      </c>
      <c r="Z9" s="23" t="str">
        <f>RTD("rit2.rtd",,$Y$1,"AGBID",W9)</f>
        <v>CROC|AGBID|8</v>
      </c>
      <c r="AA9" s="23" t="str">
        <f>RTD("rit2.rtd",,$Y$1,"AGASK",W9)</f>
        <v>CROC|AGASK|8</v>
      </c>
      <c r="AB9" t="str">
        <f>RTD("rit2.rtd",,$Y$1,"AGASZ",W9)</f>
        <v>CROC|AGASZ|8</v>
      </c>
      <c r="AC9" s="20">
        <f>SUM(AB$2:AB9)</f>
        <v>0</v>
      </c>
    </row>
    <row r="10" spans="1:29" ht="15" thickBot="1" x14ac:dyDescent="0.4">
      <c r="A10" s="4" t="s">
        <v>10</v>
      </c>
      <c r="B10" s="5" t="e">
        <f>VALUE(E9)</f>
        <v>#VALUE!</v>
      </c>
      <c r="C10" s="6"/>
      <c r="D10" s="5"/>
      <c r="E10" s="6"/>
      <c r="G10">
        <v>9</v>
      </c>
      <c r="H10" s="14">
        <f>SUM(I$2:I10)</f>
        <v>0</v>
      </c>
      <c r="I10" t="str">
        <f>RTD("rit2.rtd",,$I$1,"AGBSZ",G10)</f>
        <v>CRZY|AGBSZ|9</v>
      </c>
      <c r="J10" s="15" t="str">
        <f>RTD("rit2.rtd",,$I$1,"AGBID",G10)</f>
        <v>CRZY|AGBID|9</v>
      </c>
      <c r="K10" s="19" t="str">
        <f>RTD("rit2.rtd",,$I$1,"AGASK",G10)</f>
        <v>CRZY|AGASK|9</v>
      </c>
      <c r="L10" t="str">
        <f>RTD("rit2.rtd",,$I$1,"AGASZ",G10)</f>
        <v>CRZY|AGASZ|9</v>
      </c>
      <c r="M10" s="20">
        <f>SUM(L$2:L10)</f>
        <v>0</v>
      </c>
      <c r="O10">
        <v>9</v>
      </c>
      <c r="P10" s="14">
        <f>SUM(Q$2:Q10)</f>
        <v>0</v>
      </c>
      <c r="Q10" t="str">
        <f>RTD("rit2.rtd",,$Q$1,"AGBSZ",O10)</f>
        <v>TAME|AGBSZ|9</v>
      </c>
      <c r="R10" s="15" t="str">
        <f>RTD("rit2.rtd",,$Q$1,"AGBID",O10)</f>
        <v>TAME|AGBID|9</v>
      </c>
      <c r="S10" s="19" t="str">
        <f>RTD("rit2.rtd",,$Q$1,"AGASK",O10)</f>
        <v>TAME|AGASK|9</v>
      </c>
      <c r="T10" t="str">
        <f>RTD("rit2.rtd",,$Q$1,"AGASZ",O10)</f>
        <v>TAME|AGASZ|9</v>
      </c>
      <c r="U10" s="20">
        <f>SUM(T$2:T10)</f>
        <v>0</v>
      </c>
      <c r="W10">
        <v>9</v>
      </c>
      <c r="X10" s="14">
        <f>SUM(Y$2:Y10)</f>
        <v>0</v>
      </c>
      <c r="Y10" t="str">
        <f>RTD("rit2.rtd",,$Y$1,"AGBSZ",W10)</f>
        <v>CROC|AGBSZ|9</v>
      </c>
      <c r="Z10" s="23" t="str">
        <f>RTD("rit2.rtd",,$Y$1,"AGBID",W10)</f>
        <v>CROC|AGBID|9</v>
      </c>
      <c r="AA10" s="23" t="str">
        <f>RTD("rit2.rtd",,$Y$1,"AGASK",W10)</f>
        <v>CROC|AGASK|9</v>
      </c>
      <c r="AB10" t="str">
        <f>RTD("rit2.rtd",,$Y$1,"AGASZ",W10)</f>
        <v>CROC|AGASZ|9</v>
      </c>
      <c r="AC10" s="20">
        <f>SUM(AB$2:AB10)</f>
        <v>0</v>
      </c>
    </row>
    <row r="11" spans="1:29" x14ac:dyDescent="0.35">
      <c r="G11">
        <v>10</v>
      </c>
      <c r="H11" s="14">
        <f>SUM(I$2:I11)</f>
        <v>0</v>
      </c>
      <c r="I11" t="str">
        <f>RTD("rit2.rtd",,$I$1,"AGBSZ",G11)</f>
        <v>CRZY|AGBSZ|10</v>
      </c>
      <c r="J11" s="15" t="str">
        <f>RTD("rit2.rtd",,$I$1,"AGBID",G11)</f>
        <v>CRZY|AGBID|10</v>
      </c>
      <c r="K11" s="19" t="str">
        <f>RTD("rit2.rtd",,$I$1,"AGASK",G11)</f>
        <v>CRZY|AGASK|10</v>
      </c>
      <c r="L11" t="str">
        <f>RTD("rit2.rtd",,$I$1,"AGASZ",G11)</f>
        <v>CRZY|AGASZ|10</v>
      </c>
      <c r="M11" s="20">
        <f>SUM(L$2:L11)</f>
        <v>0</v>
      </c>
      <c r="O11">
        <v>10</v>
      </c>
      <c r="P11" s="14">
        <f>SUM(Q$2:Q11)</f>
        <v>0</v>
      </c>
      <c r="Q11" t="str">
        <f>RTD("rit2.rtd",,$Q$1,"AGBSZ",O11)</f>
        <v>TAME|AGBSZ|10</v>
      </c>
      <c r="R11" s="15" t="str">
        <f>RTD("rit2.rtd",,$Q$1,"AGBID",O11)</f>
        <v>TAME|AGBID|10</v>
      </c>
      <c r="S11" s="19" t="str">
        <f>RTD("rit2.rtd",,$Q$1,"AGASK",O11)</f>
        <v>TAME|AGASK|10</v>
      </c>
      <c r="T11" t="str">
        <f>RTD("rit2.rtd",,$Q$1,"AGASZ",O11)</f>
        <v>TAME|AGASZ|10</v>
      </c>
      <c r="U11" s="20">
        <f>SUM(T$2:T11)</f>
        <v>0</v>
      </c>
      <c r="W11">
        <v>10</v>
      </c>
      <c r="X11" s="14">
        <f>SUM(Y$2:Y11)</f>
        <v>0</v>
      </c>
      <c r="Y11" t="str">
        <f>RTD("rit2.rtd",,$Y$1,"AGBSZ",W11)</f>
        <v>CROC|AGBSZ|10</v>
      </c>
      <c r="Z11" s="23" t="str">
        <f>RTD("rit2.rtd",,$Y$1,"AGBID",W11)</f>
        <v>CROC|AGBID|10</v>
      </c>
      <c r="AA11" s="23" t="str">
        <f>RTD("rit2.rtd",,$Y$1,"AGASK",W11)</f>
        <v>CROC|AGASK|10</v>
      </c>
      <c r="AB11" t="str">
        <f>RTD("rit2.rtd",,$Y$1,"AGASZ",W11)</f>
        <v>CROC|AGASZ|10</v>
      </c>
      <c r="AC11" s="20">
        <f>SUM(AB$2:AB11)</f>
        <v>0</v>
      </c>
    </row>
    <row r="12" spans="1:29" x14ac:dyDescent="0.35">
      <c r="G12">
        <v>11</v>
      </c>
      <c r="H12" s="14">
        <f>SUM(I$2:I12)</f>
        <v>0</v>
      </c>
      <c r="I12" t="str">
        <f>RTD("rit2.rtd",,$I$1,"AGBSZ",G12)</f>
        <v>CRZY|AGBSZ|11</v>
      </c>
      <c r="J12" s="15" t="str">
        <f>RTD("rit2.rtd",,$I$1,"AGBID",G12)</f>
        <v>CRZY|AGBID|11</v>
      </c>
      <c r="K12" s="19" t="str">
        <f>RTD("rit2.rtd",,$I$1,"AGASK",G12)</f>
        <v>CRZY|AGASK|11</v>
      </c>
      <c r="L12" t="str">
        <f>RTD("rit2.rtd",,$I$1,"AGASZ",G12)</f>
        <v>CRZY|AGASZ|11</v>
      </c>
      <c r="M12" s="20">
        <f>SUM(L$2:L12)</f>
        <v>0</v>
      </c>
      <c r="O12">
        <v>11</v>
      </c>
      <c r="P12" s="14">
        <f>SUM(Q$2:Q12)</f>
        <v>0</v>
      </c>
      <c r="Q12" t="str">
        <f>RTD("rit2.rtd",,$Q$1,"AGBSZ",O12)</f>
        <v>TAME|AGBSZ|11</v>
      </c>
      <c r="R12" s="15" t="str">
        <f>RTD("rit2.rtd",,$Q$1,"AGBID",O12)</f>
        <v>TAME|AGBID|11</v>
      </c>
      <c r="S12" s="19" t="str">
        <f>RTD("rit2.rtd",,$Q$1,"AGASK",O12)</f>
        <v>TAME|AGASK|11</v>
      </c>
      <c r="T12" t="str">
        <f>RTD("rit2.rtd",,$Q$1,"AGASZ",O12)</f>
        <v>TAME|AGASZ|11</v>
      </c>
      <c r="U12" s="20">
        <f>SUM(T$2:T12)</f>
        <v>0</v>
      </c>
      <c r="W12">
        <v>11</v>
      </c>
      <c r="X12" s="14">
        <f>SUM(Y$2:Y12)</f>
        <v>0</v>
      </c>
      <c r="Y12" t="str">
        <f>RTD("rit2.rtd",,$Y$1,"AGBSZ",W12)</f>
        <v>CROC|AGBSZ|11</v>
      </c>
      <c r="Z12" s="23" t="str">
        <f>RTD("rit2.rtd",,$Y$1,"AGBID",W12)</f>
        <v>CROC|AGBID|11</v>
      </c>
      <c r="AA12" s="23" t="str">
        <f>RTD("rit2.rtd",,$Y$1,"AGASK",W12)</f>
        <v>CROC|AGASK|11</v>
      </c>
      <c r="AB12" t="str">
        <f>RTD("rit2.rtd",,$Y$1,"AGASZ",W12)</f>
        <v>CROC|AGASZ|11</v>
      </c>
      <c r="AC12" s="20">
        <f>SUM(AB$2:AB12)</f>
        <v>0</v>
      </c>
    </row>
    <row r="13" spans="1:29" x14ac:dyDescent="0.35">
      <c r="G13">
        <v>12</v>
      </c>
      <c r="H13" s="14">
        <f>SUM(I$2:I13)</f>
        <v>0</v>
      </c>
      <c r="I13" t="str">
        <f>RTD("rit2.rtd",,$I$1,"AGBSZ",G13)</f>
        <v>CRZY|AGBSZ|12</v>
      </c>
      <c r="J13" s="15" t="str">
        <f>RTD("rit2.rtd",,$I$1,"AGBID",G13)</f>
        <v>CRZY|AGBID|12</v>
      </c>
      <c r="K13" s="19" t="str">
        <f>RTD("rit2.rtd",,$I$1,"AGASK",G13)</f>
        <v>CRZY|AGASK|12</v>
      </c>
      <c r="L13" t="str">
        <f>RTD("rit2.rtd",,$I$1,"AGASZ",G13)</f>
        <v>CRZY|AGASZ|12</v>
      </c>
      <c r="M13" s="20">
        <f>SUM(L$2:L13)</f>
        <v>0</v>
      </c>
      <c r="O13">
        <v>12</v>
      </c>
      <c r="P13" s="14">
        <f>SUM(Q$2:Q13)</f>
        <v>0</v>
      </c>
      <c r="Q13" t="str">
        <f>RTD("rit2.rtd",,$Q$1,"AGBSZ",O13)</f>
        <v>TAME|AGBSZ|12</v>
      </c>
      <c r="R13" s="15" t="str">
        <f>RTD("rit2.rtd",,$Q$1,"AGBID",O13)</f>
        <v>TAME|AGBID|12</v>
      </c>
      <c r="S13" s="19" t="str">
        <f>RTD("rit2.rtd",,$Q$1,"AGASK",O13)</f>
        <v>TAME|AGASK|12</v>
      </c>
      <c r="T13" t="str">
        <f>RTD("rit2.rtd",,$Q$1,"AGASZ",O13)</f>
        <v>TAME|AGASZ|12</v>
      </c>
      <c r="U13" s="20">
        <f>SUM(T$2:T13)</f>
        <v>0</v>
      </c>
      <c r="W13">
        <v>12</v>
      </c>
      <c r="X13" s="14">
        <f>SUM(Y$2:Y13)</f>
        <v>0</v>
      </c>
      <c r="Y13" t="str">
        <f>RTD("rit2.rtd",,$Y$1,"AGBSZ",W13)</f>
        <v>CROC|AGBSZ|12</v>
      </c>
      <c r="Z13" s="23" t="str">
        <f>RTD("rit2.rtd",,$Y$1,"AGBID",W13)</f>
        <v>CROC|AGBID|12</v>
      </c>
      <c r="AA13" s="23" t="str">
        <f>RTD("rit2.rtd",,$Y$1,"AGASK",W13)</f>
        <v>CROC|AGASK|12</v>
      </c>
      <c r="AB13" t="str">
        <f>RTD("rit2.rtd",,$Y$1,"AGASZ",W13)</f>
        <v>CROC|AGASZ|12</v>
      </c>
      <c r="AC13" s="20">
        <f>SUM(AB$2:AB13)</f>
        <v>0</v>
      </c>
    </row>
    <row r="14" spans="1:29" x14ac:dyDescent="0.35">
      <c r="G14">
        <v>13</v>
      </c>
      <c r="H14" s="14">
        <f>SUM(I$2:I14)</f>
        <v>0</v>
      </c>
      <c r="I14" t="str">
        <f>RTD("rit2.rtd",,$I$1,"AGBSZ",G14)</f>
        <v>CRZY|AGBSZ|13</v>
      </c>
      <c r="J14" s="15" t="str">
        <f>RTD("rit2.rtd",,$I$1,"AGBID",G14)</f>
        <v>CRZY|AGBID|13</v>
      </c>
      <c r="K14" s="19" t="str">
        <f>RTD("rit2.rtd",,$I$1,"AGASK",G14)</f>
        <v>CRZY|AGASK|13</v>
      </c>
      <c r="L14" t="str">
        <f>RTD("rit2.rtd",,$I$1,"AGASZ",G14)</f>
        <v>CRZY|AGASZ|13</v>
      </c>
      <c r="M14" s="20">
        <f>SUM(L$2:L14)</f>
        <v>0</v>
      </c>
      <c r="O14">
        <v>13</v>
      </c>
      <c r="P14" s="14">
        <f>SUM(Q$2:Q14)</f>
        <v>0</v>
      </c>
      <c r="Q14" t="str">
        <f>RTD("rit2.rtd",,$Q$1,"AGBSZ",O14)</f>
        <v>TAME|AGBSZ|13</v>
      </c>
      <c r="R14" s="15" t="str">
        <f>RTD("rit2.rtd",,$Q$1,"AGBID",O14)</f>
        <v>TAME|AGBID|13</v>
      </c>
      <c r="S14" s="19" t="str">
        <f>RTD("rit2.rtd",,$Q$1,"AGASK",O14)</f>
        <v>TAME|AGASK|13</v>
      </c>
      <c r="T14" t="str">
        <f>RTD("rit2.rtd",,$Q$1,"AGASZ",O14)</f>
        <v>TAME|AGASZ|13</v>
      </c>
      <c r="U14" s="20">
        <f>SUM(T$2:T14)</f>
        <v>0</v>
      </c>
      <c r="W14">
        <v>13</v>
      </c>
      <c r="X14" s="14">
        <f>SUM(Y$2:Y14)</f>
        <v>0</v>
      </c>
      <c r="Y14" t="str">
        <f>RTD("rit2.rtd",,$Y$1,"AGBSZ",W14)</f>
        <v>CROC|AGBSZ|13</v>
      </c>
      <c r="Z14" s="23" t="str">
        <f>RTD("rit2.rtd",,$Y$1,"AGBID",W14)</f>
        <v>CROC|AGBID|13</v>
      </c>
      <c r="AA14" s="23" t="str">
        <f>RTD("rit2.rtd",,$Y$1,"AGASK",W14)</f>
        <v>CROC|AGASK|13</v>
      </c>
      <c r="AB14" t="str">
        <f>RTD("rit2.rtd",,$Y$1,"AGASZ",W14)</f>
        <v>CROC|AGASZ|13</v>
      </c>
      <c r="AC14" s="20">
        <f>SUM(AB$2:AB14)</f>
        <v>0</v>
      </c>
    </row>
    <row r="15" spans="1:29" x14ac:dyDescent="0.35">
      <c r="G15">
        <v>14</v>
      </c>
      <c r="H15" s="14">
        <f>SUM(I$2:I15)</f>
        <v>0</v>
      </c>
      <c r="I15" t="str">
        <f>RTD("rit2.rtd",,$I$1,"AGBSZ",G15)</f>
        <v>CRZY|AGBSZ|14</v>
      </c>
      <c r="J15" s="15" t="str">
        <f>RTD("rit2.rtd",,$I$1,"AGBID",G15)</f>
        <v>CRZY|AGBID|14</v>
      </c>
      <c r="K15" s="19" t="str">
        <f>RTD("rit2.rtd",,$I$1,"AGASK",G15)</f>
        <v>CRZY|AGASK|14</v>
      </c>
      <c r="L15" t="str">
        <f>RTD("rit2.rtd",,$I$1,"AGASZ",G15)</f>
        <v>CRZY|AGASZ|14</v>
      </c>
      <c r="M15" s="20">
        <f>SUM(L$2:L15)</f>
        <v>0</v>
      </c>
      <c r="O15">
        <v>14</v>
      </c>
      <c r="P15" s="14">
        <f>SUM(Q$2:Q15)</f>
        <v>0</v>
      </c>
      <c r="Q15" t="str">
        <f>RTD("rit2.rtd",,$Q$1,"AGBSZ",O15)</f>
        <v>TAME|AGBSZ|14</v>
      </c>
      <c r="R15" s="15" t="str">
        <f>RTD("rit2.rtd",,$Q$1,"AGBID",O15)</f>
        <v>TAME|AGBID|14</v>
      </c>
      <c r="S15" s="19" t="str">
        <f>RTD("rit2.rtd",,$Q$1,"AGASK",O15)</f>
        <v>TAME|AGASK|14</v>
      </c>
      <c r="T15" t="str">
        <f>RTD("rit2.rtd",,$Q$1,"AGASZ",O15)</f>
        <v>TAME|AGASZ|14</v>
      </c>
      <c r="U15" s="20">
        <f>SUM(T$2:T15)</f>
        <v>0</v>
      </c>
      <c r="W15">
        <v>14</v>
      </c>
      <c r="X15" s="14">
        <f>SUM(Y$2:Y15)</f>
        <v>0</v>
      </c>
      <c r="Y15" t="str">
        <f>RTD("rit2.rtd",,$Y$1,"AGBSZ",W15)</f>
        <v>CROC|AGBSZ|14</v>
      </c>
      <c r="Z15" s="23" t="str">
        <f>RTD("rit2.rtd",,$Y$1,"AGBID",W15)</f>
        <v>CROC|AGBID|14</v>
      </c>
      <c r="AA15" s="23" t="str">
        <f>RTD("rit2.rtd",,$Y$1,"AGASK",W15)</f>
        <v>CROC|AGASK|14</v>
      </c>
      <c r="AB15" t="str">
        <f>RTD("rit2.rtd",,$Y$1,"AGASZ",W15)</f>
        <v>CROC|AGASZ|14</v>
      </c>
      <c r="AC15" s="20">
        <f>SUM(AB$2:AB15)</f>
        <v>0</v>
      </c>
    </row>
    <row r="16" spans="1:29" x14ac:dyDescent="0.35">
      <c r="G16">
        <v>15</v>
      </c>
      <c r="H16" s="14">
        <f>SUM(I$2:I16)</f>
        <v>0</v>
      </c>
      <c r="I16" t="str">
        <f>RTD("rit2.rtd",,$I$1,"AGBSZ",G16)</f>
        <v>CRZY|AGBSZ|15</v>
      </c>
      <c r="J16" s="15" t="str">
        <f>RTD("rit2.rtd",,$I$1,"AGBID",G16)</f>
        <v>CRZY|AGBID|15</v>
      </c>
      <c r="K16" s="19" t="str">
        <f>RTD("rit2.rtd",,$I$1,"AGASK",G16)</f>
        <v>CRZY|AGASK|15</v>
      </c>
      <c r="L16" t="str">
        <f>RTD("rit2.rtd",,$I$1,"AGASZ",G16)</f>
        <v>CRZY|AGASZ|15</v>
      </c>
      <c r="M16" s="20">
        <f>SUM(L$2:L16)</f>
        <v>0</v>
      </c>
      <c r="O16">
        <v>15</v>
      </c>
      <c r="P16" s="14">
        <f>SUM(Q$2:Q16)</f>
        <v>0</v>
      </c>
      <c r="Q16" t="str">
        <f>RTD("rit2.rtd",,$Q$1,"AGBSZ",O16)</f>
        <v>TAME|AGBSZ|15</v>
      </c>
      <c r="R16" s="15" t="str">
        <f>RTD("rit2.rtd",,$Q$1,"AGBID",O16)</f>
        <v>TAME|AGBID|15</v>
      </c>
      <c r="S16" s="19" t="str">
        <f>RTD("rit2.rtd",,$Q$1,"AGASK",O16)</f>
        <v>TAME|AGASK|15</v>
      </c>
      <c r="T16" t="str">
        <f>RTD("rit2.rtd",,$Q$1,"AGASZ",O16)</f>
        <v>TAME|AGASZ|15</v>
      </c>
      <c r="U16" s="20">
        <f>SUM(T$2:T16)</f>
        <v>0</v>
      </c>
      <c r="W16">
        <v>15</v>
      </c>
      <c r="X16" s="14">
        <f>SUM(Y$2:Y16)</f>
        <v>0</v>
      </c>
      <c r="Y16" t="str">
        <f>RTD("rit2.rtd",,$Y$1,"AGBSZ",W16)</f>
        <v>CROC|AGBSZ|15</v>
      </c>
      <c r="Z16" s="23" t="str">
        <f>RTD("rit2.rtd",,$Y$1,"AGBID",W16)</f>
        <v>CROC|AGBID|15</v>
      </c>
      <c r="AA16" s="23" t="str">
        <f>RTD("rit2.rtd",,$Y$1,"AGASK",W16)</f>
        <v>CROC|AGASK|15</v>
      </c>
      <c r="AB16" t="str">
        <f>RTD("rit2.rtd",,$Y$1,"AGASZ",W16)</f>
        <v>CROC|AGASZ|15</v>
      </c>
      <c r="AC16" s="20">
        <f>SUM(AB$2:AB16)</f>
        <v>0</v>
      </c>
    </row>
    <row r="17" spans="7:29" x14ac:dyDescent="0.35">
      <c r="G17">
        <v>16</v>
      </c>
      <c r="H17" s="14">
        <f>SUM(I$2:I17)</f>
        <v>0</v>
      </c>
      <c r="I17" t="str">
        <f>RTD("rit2.rtd",,$I$1,"AGBSZ",G17)</f>
        <v>CRZY|AGBSZ|16</v>
      </c>
      <c r="J17" s="15" t="str">
        <f>RTD("rit2.rtd",,$I$1,"AGBID",G17)</f>
        <v>CRZY|AGBID|16</v>
      </c>
      <c r="K17" s="19" t="str">
        <f>RTD("rit2.rtd",,$I$1,"AGASK",G17)</f>
        <v>CRZY|AGASK|16</v>
      </c>
      <c r="L17" t="str">
        <f>RTD("rit2.rtd",,$I$1,"AGASZ",G17)</f>
        <v>CRZY|AGASZ|16</v>
      </c>
      <c r="M17" s="20">
        <f>SUM(L$2:L17)</f>
        <v>0</v>
      </c>
      <c r="O17">
        <v>16</v>
      </c>
      <c r="P17" s="14">
        <f>SUM(Q$2:Q17)</f>
        <v>0</v>
      </c>
      <c r="Q17" t="str">
        <f>RTD("rit2.rtd",,$Q$1,"AGBSZ",O17)</f>
        <v>TAME|AGBSZ|16</v>
      </c>
      <c r="R17" s="15" t="str">
        <f>RTD("rit2.rtd",,$Q$1,"AGBID",O17)</f>
        <v>TAME|AGBID|16</v>
      </c>
      <c r="S17" s="19" t="str">
        <f>RTD("rit2.rtd",,$Q$1,"AGASK",O17)</f>
        <v>TAME|AGASK|16</v>
      </c>
      <c r="T17" t="str">
        <f>RTD("rit2.rtd",,$Q$1,"AGASZ",O17)</f>
        <v>TAME|AGASZ|16</v>
      </c>
      <c r="U17" s="20">
        <f>SUM(T$2:T17)</f>
        <v>0</v>
      </c>
      <c r="W17">
        <v>16</v>
      </c>
      <c r="X17" s="14">
        <f>SUM(Y$2:Y17)</f>
        <v>0</v>
      </c>
      <c r="Y17" t="str">
        <f>RTD("rit2.rtd",,$Y$1,"AGBSZ",W17)</f>
        <v>CROC|AGBSZ|16</v>
      </c>
      <c r="Z17" s="23" t="str">
        <f>RTD("rit2.rtd",,$Y$1,"AGBID",W17)</f>
        <v>CROC|AGBID|16</v>
      </c>
      <c r="AA17" s="23" t="str">
        <f>RTD("rit2.rtd",,$Y$1,"AGASK",W17)</f>
        <v>CROC|AGASK|16</v>
      </c>
      <c r="AB17" t="str">
        <f>RTD("rit2.rtd",,$Y$1,"AGASZ",W17)</f>
        <v>CROC|AGASZ|16</v>
      </c>
      <c r="AC17" s="20">
        <f>SUM(AB$2:AB17)</f>
        <v>0</v>
      </c>
    </row>
    <row r="18" spans="7:29" x14ac:dyDescent="0.35">
      <c r="G18">
        <v>17</v>
      </c>
      <c r="H18" s="14">
        <f>SUM(I$2:I18)</f>
        <v>0</v>
      </c>
      <c r="I18" t="str">
        <f>RTD("rit2.rtd",,$I$1,"AGBSZ",G18)</f>
        <v>CRZY|AGBSZ|17</v>
      </c>
      <c r="J18" s="15" t="str">
        <f>RTD("rit2.rtd",,$I$1,"AGBID",G18)</f>
        <v>CRZY|AGBID|17</v>
      </c>
      <c r="K18" s="19" t="str">
        <f>RTD("rit2.rtd",,$I$1,"AGASK",G18)</f>
        <v>CRZY|AGASK|17</v>
      </c>
      <c r="L18" t="str">
        <f>RTD("rit2.rtd",,$I$1,"AGASZ",G18)</f>
        <v>CRZY|AGASZ|17</v>
      </c>
      <c r="M18" s="20">
        <f>SUM(L$2:L18)</f>
        <v>0</v>
      </c>
      <c r="O18">
        <v>17</v>
      </c>
      <c r="P18" s="14">
        <f>SUM(Q$2:Q18)</f>
        <v>0</v>
      </c>
      <c r="Q18" t="str">
        <f>RTD("rit2.rtd",,$Q$1,"AGBSZ",O18)</f>
        <v>TAME|AGBSZ|17</v>
      </c>
      <c r="R18" s="15" t="str">
        <f>RTD("rit2.rtd",,$Q$1,"AGBID",O18)</f>
        <v>TAME|AGBID|17</v>
      </c>
      <c r="S18" s="19" t="str">
        <f>RTD("rit2.rtd",,$Q$1,"AGASK",O18)</f>
        <v>TAME|AGASK|17</v>
      </c>
      <c r="T18" t="str">
        <f>RTD("rit2.rtd",,$Q$1,"AGASZ",O18)</f>
        <v>TAME|AGASZ|17</v>
      </c>
      <c r="U18" s="20">
        <f>SUM(T$2:T18)</f>
        <v>0</v>
      </c>
      <c r="W18">
        <v>17</v>
      </c>
      <c r="X18" s="14">
        <f>SUM(Y$2:Y18)</f>
        <v>0</v>
      </c>
      <c r="Y18" t="str">
        <f>RTD("rit2.rtd",,$Y$1,"AGBSZ",W18)</f>
        <v>CROC|AGBSZ|17</v>
      </c>
      <c r="Z18" s="23" t="str">
        <f>RTD("rit2.rtd",,$Y$1,"AGBID",W18)</f>
        <v>CROC|AGBID|17</v>
      </c>
      <c r="AA18" s="23" t="str">
        <f>RTD("rit2.rtd",,$Y$1,"AGASK",W18)</f>
        <v>CROC|AGASK|17</v>
      </c>
      <c r="AB18" t="str">
        <f>RTD("rit2.rtd",,$Y$1,"AGASZ",W18)</f>
        <v>CROC|AGASZ|17</v>
      </c>
      <c r="AC18" s="20">
        <f>SUM(AB$2:AB18)</f>
        <v>0</v>
      </c>
    </row>
    <row r="19" spans="7:29" x14ac:dyDescent="0.35">
      <c r="G19">
        <v>18</v>
      </c>
      <c r="H19" s="14">
        <f>SUM(I$2:I19)</f>
        <v>0</v>
      </c>
      <c r="I19" t="str">
        <f>RTD("rit2.rtd",,$I$1,"AGBSZ",G19)</f>
        <v>CRZY|AGBSZ|18</v>
      </c>
      <c r="J19" s="15" t="str">
        <f>RTD("rit2.rtd",,$I$1,"AGBID",G19)</f>
        <v>CRZY|AGBID|18</v>
      </c>
      <c r="K19" s="19" t="str">
        <f>RTD("rit2.rtd",,$I$1,"AGASK",G19)</f>
        <v>CRZY|AGASK|18</v>
      </c>
      <c r="L19" t="str">
        <f>RTD("rit2.rtd",,$I$1,"AGASZ",G19)</f>
        <v>CRZY|AGASZ|18</v>
      </c>
      <c r="M19" s="20">
        <f>SUM(L$2:L19)</f>
        <v>0</v>
      </c>
      <c r="O19">
        <v>18</v>
      </c>
      <c r="P19" s="14">
        <f>SUM(Q$2:Q19)</f>
        <v>0</v>
      </c>
      <c r="Q19" t="str">
        <f>RTD("rit2.rtd",,$Q$1,"AGBSZ",O19)</f>
        <v>TAME|AGBSZ|18</v>
      </c>
      <c r="R19" s="15" t="str">
        <f>RTD("rit2.rtd",,$Q$1,"AGBID",O19)</f>
        <v>TAME|AGBID|18</v>
      </c>
      <c r="S19" s="19" t="str">
        <f>RTD("rit2.rtd",,$Q$1,"AGASK",O19)</f>
        <v>TAME|AGASK|18</v>
      </c>
      <c r="T19" t="str">
        <f>RTD("rit2.rtd",,$Q$1,"AGASZ",O19)</f>
        <v>TAME|AGASZ|18</v>
      </c>
      <c r="U19" s="20">
        <f>SUM(T$2:T19)</f>
        <v>0</v>
      </c>
      <c r="W19">
        <v>18</v>
      </c>
      <c r="X19" s="14">
        <f>SUM(Y$2:Y19)</f>
        <v>0</v>
      </c>
      <c r="Y19" t="str">
        <f>RTD("rit2.rtd",,$Y$1,"AGBSZ",W19)</f>
        <v>CROC|AGBSZ|18</v>
      </c>
      <c r="Z19" s="23" t="str">
        <f>RTD("rit2.rtd",,$Y$1,"AGBID",W19)</f>
        <v>CROC|AGBID|18</v>
      </c>
      <c r="AA19" s="23" t="str">
        <f>RTD("rit2.rtd",,$Y$1,"AGASK",W19)</f>
        <v>CROC|AGASK|18</v>
      </c>
      <c r="AB19" t="str">
        <f>RTD("rit2.rtd",,$Y$1,"AGASZ",W19)</f>
        <v>CROC|AGASZ|18</v>
      </c>
      <c r="AC19" s="20">
        <f>SUM(AB$2:AB19)</f>
        <v>0</v>
      </c>
    </row>
    <row r="20" spans="7:29" x14ac:dyDescent="0.35">
      <c r="G20">
        <v>19</v>
      </c>
      <c r="H20" s="14">
        <f>SUM(I$2:I20)</f>
        <v>0</v>
      </c>
      <c r="I20" t="str">
        <f>RTD("rit2.rtd",,$I$1,"AGBSZ",G20)</f>
        <v>CRZY|AGBSZ|19</v>
      </c>
      <c r="J20" s="15" t="str">
        <f>RTD("rit2.rtd",,$I$1,"AGBID",G20)</f>
        <v>CRZY|AGBID|19</v>
      </c>
      <c r="K20" s="19" t="str">
        <f>RTD("rit2.rtd",,$I$1,"AGASK",G20)</f>
        <v>CRZY|AGASK|19</v>
      </c>
      <c r="L20" t="str">
        <f>RTD("rit2.rtd",,$I$1,"AGASZ",G20)</f>
        <v>CRZY|AGASZ|19</v>
      </c>
      <c r="M20" s="20">
        <f>SUM(L$2:L20)</f>
        <v>0</v>
      </c>
      <c r="O20">
        <v>19</v>
      </c>
      <c r="P20" s="14">
        <f>SUM(Q$2:Q20)</f>
        <v>0</v>
      </c>
      <c r="Q20" t="str">
        <f>RTD("rit2.rtd",,$Q$1,"AGBSZ",O20)</f>
        <v>TAME|AGBSZ|19</v>
      </c>
      <c r="R20" s="15" t="str">
        <f>RTD("rit2.rtd",,$Q$1,"AGBID",O20)</f>
        <v>TAME|AGBID|19</v>
      </c>
      <c r="S20" s="19" t="str">
        <f>RTD("rit2.rtd",,$Q$1,"AGASK",O20)</f>
        <v>TAME|AGASK|19</v>
      </c>
      <c r="T20" t="str">
        <f>RTD("rit2.rtd",,$Q$1,"AGASZ",O20)</f>
        <v>TAME|AGASZ|19</v>
      </c>
      <c r="U20" s="20">
        <f>SUM(T$2:T20)</f>
        <v>0</v>
      </c>
      <c r="W20">
        <v>19</v>
      </c>
      <c r="X20" s="14">
        <f>SUM(Y$2:Y20)</f>
        <v>0</v>
      </c>
      <c r="Y20" t="str">
        <f>RTD("rit2.rtd",,$Y$1,"AGBSZ",W20)</f>
        <v>CROC|AGBSZ|19</v>
      </c>
      <c r="Z20" s="23" t="str">
        <f>RTD("rit2.rtd",,$Y$1,"AGBID",W20)</f>
        <v>CROC|AGBID|19</v>
      </c>
      <c r="AA20" s="23" t="str">
        <f>RTD("rit2.rtd",,$Y$1,"AGASK",W20)</f>
        <v>CROC|AGASK|19</v>
      </c>
      <c r="AB20" t="str">
        <f>RTD("rit2.rtd",,$Y$1,"AGASZ",W20)</f>
        <v>CROC|AGASZ|19</v>
      </c>
      <c r="AC20" s="20">
        <f>SUM(AB$2:AB20)</f>
        <v>0</v>
      </c>
    </row>
    <row r="21" spans="7:29" ht="15" thickBot="1" x14ac:dyDescent="0.4">
      <c r="G21">
        <v>20</v>
      </c>
      <c r="H21" s="10">
        <f>SUM(I$2:I21)</f>
        <v>0</v>
      </c>
      <c r="I21" s="5" t="str">
        <f>RTD("rit2.rtd",,$I$1,"AGBSZ",G21)</f>
        <v>CRZY|AGBSZ|20</v>
      </c>
      <c r="J21" s="16" t="str">
        <f>RTD("rit2.rtd",,$I$1,"AGBID",G21)</f>
        <v>CRZY|AGBID|20</v>
      </c>
      <c r="K21" s="21" t="str">
        <f>RTD("rit2.rtd",,$I$1,"AGASK",G21)</f>
        <v>CRZY|AGASK|20</v>
      </c>
      <c r="L21" s="5" t="str">
        <f>RTD("rit2.rtd",,$I$1,"AGASZ",G21)</f>
        <v>CRZY|AGASZ|20</v>
      </c>
      <c r="M21" s="22">
        <f>SUM(L$2:L21)</f>
        <v>0</v>
      </c>
      <c r="O21">
        <v>20</v>
      </c>
      <c r="P21" s="10">
        <f>SUM(Q$2:Q21)</f>
        <v>0</v>
      </c>
      <c r="Q21" s="5" t="str">
        <f>RTD("rit2.rtd",,$Q$1,"AGBSZ",O21)</f>
        <v>TAME|AGBSZ|20</v>
      </c>
      <c r="R21" s="16" t="str">
        <f>RTD("rit2.rtd",,$Q$1,"AGBID",O21)</f>
        <v>TAME|AGBID|20</v>
      </c>
      <c r="S21" s="21" t="str">
        <f>RTD("rit2.rtd",,$Q$1,"AGASK",O21)</f>
        <v>TAME|AGASK|20</v>
      </c>
      <c r="T21" s="5" t="str">
        <f>RTD("rit2.rtd",,$Q$1,"AGASZ",O21)</f>
        <v>TAME|AGASZ|20</v>
      </c>
      <c r="U21" s="22">
        <f>SUM(T$2:T21)</f>
        <v>0</v>
      </c>
      <c r="W21">
        <v>20</v>
      </c>
      <c r="X21" s="10">
        <f>SUM(Y$2:Y21)</f>
        <v>0</v>
      </c>
      <c r="Y21" s="5" t="str">
        <f>RTD("rit2.rtd",,$Y$1,"AGBSZ",W21)</f>
        <v>CROC|AGBSZ|20</v>
      </c>
      <c r="Z21" s="25" t="str">
        <f>RTD("rit2.rtd",,$Y$1,"AGBID",W21)</f>
        <v>CROC|AGBID|20</v>
      </c>
      <c r="AA21" s="25" t="str">
        <f>RTD("rit2.rtd",,$Y$1,"AGASK",W21)</f>
        <v>CROC|AGASK|20</v>
      </c>
      <c r="AB21" s="5" t="str">
        <f>RTD("rit2.rtd",,$Y$1,"AGASZ",W21)</f>
        <v>CROC|AGASZ|20</v>
      </c>
      <c r="AC21" s="22">
        <f>SUM(AB$2:AB21)</f>
        <v>0</v>
      </c>
    </row>
  </sheetData>
  <mergeCells count="1">
    <mergeCell ref="A3:E3"/>
  </mergeCells>
  <conditionalFormatting sqref="B7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Stanawit</dc:creator>
  <cp:lastModifiedBy>Tanawit Sae sue</cp:lastModifiedBy>
  <dcterms:created xsi:type="dcterms:W3CDTF">2022-02-22T06:43:40Z</dcterms:created>
  <dcterms:modified xsi:type="dcterms:W3CDTF">2026-10-09T04:29:09Z</dcterms:modified>
</cp:coreProperties>
</file>